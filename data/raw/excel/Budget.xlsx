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eabd122808460/Documents/LinkedIn/LinkedIn Learning/Power BI for Finance/Data/"/>
    </mc:Choice>
  </mc:AlternateContent>
  <xr:revisionPtr revIDLastSave="4" documentId="8_{7D1B5AE8-6622-401C-A779-D89B780C4605}" xr6:coauthVersionLast="47" xr6:coauthVersionMax="47" xr10:uidLastSave="{4648FD65-8302-49B0-A129-0811DF26A479}"/>
  <bookViews>
    <workbookView xWindow="-98" yWindow="-98" windowWidth="22695" windowHeight="14476" activeTab="2" xr2:uid="{0B12A38B-9726-934C-8C38-828523B4CBF7}"/>
  </bookViews>
  <sheets>
    <sheet name="2022" sheetId="4" r:id="rId1"/>
    <sheet name="2023" sheetId="5" r:id="rId2"/>
    <sheet name="2024" sheetId="6" r:id="rId3"/>
    <sheet name="About this docume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0" i="6" l="1"/>
  <c r="L10" i="6"/>
  <c r="J10" i="6"/>
  <c r="I10" i="6"/>
  <c r="H10" i="6"/>
  <c r="G10" i="6"/>
  <c r="F10" i="6"/>
  <c r="E10" i="6"/>
  <c r="D10" i="6"/>
  <c r="C10" i="6"/>
  <c r="N18" i="6"/>
  <c r="N17" i="6"/>
  <c r="N16" i="6"/>
  <c r="N15" i="6"/>
  <c r="N14" i="6"/>
  <c r="N17" i="5"/>
  <c r="N16" i="5"/>
  <c r="N15" i="5"/>
  <c r="N14" i="5"/>
  <c r="M19" i="5"/>
  <c r="L19" i="5"/>
  <c r="J19" i="5"/>
  <c r="I19" i="5"/>
  <c r="H19" i="5"/>
  <c r="G19" i="5"/>
  <c r="F19" i="5"/>
  <c r="E19" i="5"/>
  <c r="D19" i="5"/>
  <c r="C19" i="5"/>
  <c r="F10" i="5"/>
  <c r="M10" i="5"/>
  <c r="L10" i="5"/>
  <c r="J10" i="5"/>
  <c r="I10" i="5"/>
  <c r="H10" i="5"/>
  <c r="G10" i="5"/>
  <c r="E10" i="5"/>
  <c r="D10" i="5"/>
  <c r="N9" i="5"/>
  <c r="C22" i="4"/>
  <c r="D22" i="4"/>
  <c r="E22" i="4"/>
  <c r="F22" i="4"/>
  <c r="G22" i="4"/>
  <c r="H22" i="4"/>
  <c r="I22" i="4"/>
  <c r="J22" i="4"/>
  <c r="K22" i="4"/>
  <c r="L22" i="4"/>
  <c r="M22" i="4"/>
  <c r="B22" i="4"/>
  <c r="N22" i="4" s="1"/>
  <c r="N8" i="4"/>
  <c r="N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N17" i="4"/>
  <c r="N16" i="4"/>
  <c r="N15" i="4"/>
  <c r="N14" i="4"/>
  <c r="N13" i="4"/>
  <c r="N12" i="4"/>
  <c r="M10" i="4"/>
  <c r="M21" i="4" s="1"/>
  <c r="M23" i="4" s="1"/>
  <c r="L10" i="4"/>
  <c r="L21" i="4" s="1"/>
  <c r="L23" i="4" s="1"/>
  <c r="K10" i="4"/>
  <c r="K21" i="4" s="1"/>
  <c r="K23" i="4" s="1"/>
  <c r="J10" i="4"/>
  <c r="I10" i="4"/>
  <c r="H10" i="4"/>
  <c r="G10" i="4"/>
  <c r="F10" i="4"/>
  <c r="E10" i="4"/>
  <c r="D10" i="4"/>
  <c r="C10" i="4"/>
  <c r="B10" i="4"/>
  <c r="L19" i="6" l="1"/>
  <c r="K19" i="6"/>
  <c r="H19" i="6"/>
  <c r="D19" i="6"/>
  <c r="I19" i="6"/>
  <c r="I21" i="6" s="1"/>
  <c r="M19" i="6"/>
  <c r="M21" i="6" s="1"/>
  <c r="F19" i="6"/>
  <c r="N13" i="6"/>
  <c r="J19" i="6"/>
  <c r="E19" i="6"/>
  <c r="E21" i="6" s="1"/>
  <c r="C19" i="6"/>
  <c r="G19" i="6"/>
  <c r="G21" i="6" s="1"/>
  <c r="G22" i="6" s="1"/>
  <c r="G23" i="6" s="1"/>
  <c r="H21" i="5"/>
  <c r="M21" i="5"/>
  <c r="L21" i="5"/>
  <c r="I21" i="5"/>
  <c r="G21" i="5"/>
  <c r="J21" i="5"/>
  <c r="K10" i="5"/>
  <c r="N12" i="5"/>
  <c r="N12" i="6"/>
  <c r="H21" i="6"/>
  <c r="H22" i="6" s="1"/>
  <c r="H23" i="6" s="1"/>
  <c r="C21" i="6"/>
  <c r="F21" i="6"/>
  <c r="F22" i="6" s="1"/>
  <c r="F23" i="6" s="1"/>
  <c r="L21" i="6"/>
  <c r="L22" i="6" s="1"/>
  <c r="L23" i="6" s="1"/>
  <c r="D21" i="6"/>
  <c r="J21" i="6"/>
  <c r="B10" i="6"/>
  <c r="N8" i="6"/>
  <c r="B19" i="6"/>
  <c r="M22" i="6"/>
  <c r="M23" i="6" s="1"/>
  <c r="K19" i="5"/>
  <c r="N13" i="5"/>
  <c r="C10" i="5"/>
  <c r="N8" i="5"/>
  <c r="F21" i="5"/>
  <c r="F22" i="5" s="1"/>
  <c r="F23" i="5" s="1"/>
  <c r="E21" i="5"/>
  <c r="E22" i="5" s="1"/>
  <c r="E23" i="5" s="1"/>
  <c r="D21" i="5"/>
  <c r="D22" i="5" s="1"/>
  <c r="D23" i="5" s="1"/>
  <c r="C21" i="5"/>
  <c r="C22" i="5" s="1"/>
  <c r="C23" i="5" s="1"/>
  <c r="B19" i="5"/>
  <c r="N18" i="5"/>
  <c r="B10" i="5"/>
  <c r="N10" i="5" s="1"/>
  <c r="M22" i="5"/>
  <c r="M23" i="5" s="1"/>
  <c r="L22" i="5"/>
  <c r="L23" i="5" s="1"/>
  <c r="J22" i="5"/>
  <c r="J23" i="5" s="1"/>
  <c r="I22" i="5"/>
  <c r="I23" i="5" s="1"/>
  <c r="H22" i="5"/>
  <c r="H23" i="5" s="1"/>
  <c r="G22" i="5"/>
  <c r="G23" i="5" s="1"/>
  <c r="J21" i="4"/>
  <c r="J23" i="4" s="1"/>
  <c r="I21" i="4"/>
  <c r="I23" i="4" s="1"/>
  <c r="H21" i="4"/>
  <c r="H23" i="4" s="1"/>
  <c r="G21" i="4"/>
  <c r="G23" i="4" s="1"/>
  <c r="F21" i="4"/>
  <c r="F23" i="4" s="1"/>
  <c r="E21" i="4"/>
  <c r="E23" i="4" s="1"/>
  <c r="D21" i="4"/>
  <c r="D23" i="4" s="1"/>
  <c r="C21" i="4"/>
  <c r="C23" i="4" s="1"/>
  <c r="N19" i="4"/>
  <c r="B21" i="4"/>
  <c r="B23" i="4" s="1"/>
  <c r="N10" i="4"/>
  <c r="N19" i="6" l="1"/>
  <c r="K21" i="5"/>
  <c r="K22" i="5" s="1"/>
  <c r="K23" i="5" s="1"/>
  <c r="N9" i="6"/>
  <c r="K10" i="6"/>
  <c r="K21" i="6" s="1"/>
  <c r="C22" i="6"/>
  <c r="C23" i="6" s="1"/>
  <c r="I22" i="6"/>
  <c r="I23" i="6" s="1"/>
  <c r="E22" i="6"/>
  <c r="E23" i="6" s="1"/>
  <c r="D22" i="6"/>
  <c r="D23" i="6" s="1"/>
  <c r="J22" i="6"/>
  <c r="J23" i="6" s="1"/>
  <c r="B21" i="6"/>
  <c r="N10" i="6"/>
  <c r="N19" i="5"/>
  <c r="N21" i="5" s="1"/>
  <c r="B21" i="5"/>
  <c r="B22" i="5" s="1"/>
  <c r="N21" i="4"/>
  <c r="N23" i="4" s="1"/>
  <c r="N21" i="6" l="1"/>
  <c r="B22" i="6"/>
  <c r="B23" i="6" s="1"/>
  <c r="K22" i="6"/>
  <c r="N22" i="5"/>
  <c r="N23" i="5" s="1"/>
  <c r="B23" i="5"/>
  <c r="N22" i="6" l="1"/>
  <c r="N23" i="6" s="1"/>
  <c r="K23" i="6"/>
</calcChain>
</file>

<file path=xl/sharedStrings.xml><?xml version="1.0" encoding="utf-8"?>
<sst xmlns="http://schemas.openxmlformats.org/spreadsheetml/2006/main" count="105" uniqueCount="41">
  <si>
    <t>(US dollar, in thousands)</t>
  </si>
  <si>
    <t>Revenue</t>
  </si>
  <si>
    <t>Gross Revenue</t>
  </si>
  <si>
    <t>Cost of Goods Sold</t>
  </si>
  <si>
    <t xml:space="preserve">Gross Profit </t>
  </si>
  <si>
    <t>Operating Expenses</t>
  </si>
  <si>
    <t>Research and Development</t>
  </si>
  <si>
    <t>Sales and Marketing</t>
  </si>
  <si>
    <t>General and Administrative</t>
  </si>
  <si>
    <t>Salaries and Wages</t>
  </si>
  <si>
    <t>Interest</t>
  </si>
  <si>
    <t>Rent and Utilities</t>
  </si>
  <si>
    <t>Other</t>
  </si>
  <si>
    <t xml:space="preserve">Total Operating Expenses </t>
  </si>
  <si>
    <t>Operating Income (EBIT)</t>
  </si>
  <si>
    <t>Income Before Taxes</t>
  </si>
  <si>
    <t>Taxes</t>
  </si>
  <si>
    <t xml:space="preserve">Net Income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</si>
  <si>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</si>
  <si>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</si>
  <si>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</si>
  <si>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</si>
  <si>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</si>
  <si>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</si>
  <si>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</si>
  <si>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</si>
  <si>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</si>
  <si>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</si>
  <si>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</si>
  <si>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</si>
  <si>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January</t>
  </si>
  <si>
    <t>Note: this worksheet is part of a series of worksheets with correlating financial data for Red30 Tech. The other worksheets available in the series are:</t>
  </si>
  <si>
    <t>Red30 Tech Marketing Expenses.xlsx</t>
  </si>
  <si>
    <t>Red30 Tech Labor Expenses.xlsx</t>
  </si>
  <si>
    <t>Red30 Tech Balance Sheet.xlsx</t>
  </si>
  <si>
    <t>Red30 Tech Financial Statement.xlsx</t>
  </si>
  <si>
    <t xml:space="preserve">Red30 Tech Overhead Costs.xlsx </t>
  </si>
  <si>
    <t>Red30 Tech Budget</t>
  </si>
  <si>
    <t>Monthly Budgets 2022</t>
  </si>
  <si>
    <t>Monthly Budgets 2023</t>
  </si>
  <si>
    <t>Monthly Budgets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</si>
</sst>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42" fontId="7" fillId="0" borderId="0" xfId="0" applyNumberFormat="1" applyFont="1"/>
    <xf numFmtId="0" fontId="2" fillId="3" borderId="3" xfId="0" applyFont="1" applyFill="1" applyBorder="1" applyAlignment="1">
      <alignment horizontal="left"/>
    </xf>
    <xf numFmtId="42" fontId="3" fillId="0" borderId="0" xfId="0" applyNumberFormat="1" applyFont="1"/>
    <xf numFmtId="0" fontId="6" fillId="0" borderId="2" xfId="0" applyFont="1" applyBorder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0" xfId="0" applyFont="1" applyFill="1"/>
    <xf numFmtId="42" fontId="7" fillId="0" borderId="5" xfId="0" applyNumberFormat="1" applyFont="1" applyBorder="1"/>
    <xf numFmtId="0" fontId="3" fillId="0" borderId="1" xfId="0" applyFont="1" applyBorder="1" applyAlignment="1">
      <alignment horizontal="left"/>
    </xf>
    <xf numFmtId="42" fontId="3" fillId="0" borderId="2" xfId="0" applyNumberFormat="1" applyFont="1" applyBorder="1"/>
    <xf numFmtId="0" fontId="6" fillId="0" borderId="6" xfId="0" applyFont="1" applyBorder="1" applyAlignment="1">
      <alignment horizontal="left"/>
    </xf>
    <xf numFmtId="42" fontId="7" fillId="0" borderId="6" xfId="0" applyNumberFormat="1" applyFont="1" applyBorder="1"/>
    <xf numFmtId="44" fontId="0" fillId="0" borderId="0" xfId="0" applyNumberFormat="1"/>
    <xf numFmtId="0" fontId="1" fillId="2" borderId="0" xfId="0" applyFont="1" applyFill="1" applyAlignment="1">
      <alignment horizontal="left"/>
    </xf>
    <xf numFmtId="164" fontId="0" fillId="0" borderId="0" xfId="1" applyNumberFormat="1" applyFont="1"/>
    <xf numFmtId="42" fontId="3" fillId="0" borderId="5" xfId="0" applyNumberFormat="1" applyFont="1" applyBorder="1"/>
    <xf numFmtId="0" fontId="1" fillId="2" borderId="8" xfId="0" applyFont="1" applyFill="1" applyBorder="1" applyAlignment="1">
      <alignment horizontal="left"/>
    </xf>
    <xf numFmtId="42" fontId="3" fillId="4" borderId="9" xfId="0" applyNumberFormat="1" applyFont="1" applyFill="1" applyBorder="1"/>
    <xf numFmtId="42" fontId="3" fillId="4" borderId="10" xfId="0" applyNumberFormat="1" applyFont="1" applyFill="1" applyBorder="1"/>
    <xf numFmtId="42" fontId="3" fillId="4" borderId="7" xfId="0" applyNumberFormat="1" applyFont="1" applyFill="1" applyBorder="1"/>
    <xf numFmtId="0" fontId="2" fillId="5" borderId="9" xfId="0" applyFont="1" applyFill="1" applyBorder="1" applyAlignment="1">
      <alignment horizontal="left"/>
    </xf>
    <xf numFmtId="0" fontId="5" fillId="5" borderId="9" xfId="0" applyFont="1" applyFill="1" applyBorder="1"/>
    <xf numFmtId="0" fontId="3" fillId="5" borderId="9" xfId="0" applyFont="1" applyFill="1" applyBorder="1"/>
    <xf numFmtId="42" fontId="9" fillId="4" borderId="9" xfId="0" applyNumberFormat="1" applyFont="1" applyFill="1" applyBorder="1"/>
    <xf numFmtId="42" fontId="9" fillId="4" borderId="10" xfId="0" applyNumberFormat="1" applyFont="1" applyFill="1" applyBorder="1"/>
    <xf numFmtId="42" fontId="9" fillId="4" borderId="11" xfId="0" applyNumberFormat="1" applyFont="1" applyFill="1" applyBorder="1"/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4" fontId="3" fillId="0" borderId="0" xfId="0" applyNumberFormat="1" applyFont="1"/>
    <xf numFmtId="164" fontId="3" fillId="0" borderId="5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7D342-5B34-476F-B58A-A8578A05E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7297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9FE3E-FABD-4E38-A58F-CA50443DA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7297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DBE21-F577-4A0C-9DBD-9502064C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72975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6B9E-4387-4F95-B531-2EFF8FAE8B45}">
  <dimension ref="A1:N45"/>
  <sheetViews>
    <sheetView showGridLines="0" zoomScale="90" zoomScaleNormal="90" workbookViewId="0">
      <selection activeCell="B23" sqref="B23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14" ht="23.25" x14ac:dyDescent="0.7">
      <c r="A1" s="1"/>
      <c r="B1" s="2"/>
      <c r="C1" s="3"/>
      <c r="D1" s="3"/>
      <c r="E1" s="3"/>
      <c r="F1" s="3"/>
    </row>
    <row r="2" spans="1:14" x14ac:dyDescent="0.5">
      <c r="A2" s="1"/>
      <c r="B2" s="4" t="s">
        <v>37</v>
      </c>
      <c r="C2" s="4"/>
      <c r="D2" s="3"/>
      <c r="E2" s="3"/>
      <c r="F2" s="3"/>
    </row>
    <row r="3" spans="1:14" x14ac:dyDescent="0.5">
      <c r="A3" s="1"/>
      <c r="B3" s="4" t="s">
        <v>38</v>
      </c>
      <c r="C3" s="4"/>
      <c r="D3" s="3"/>
      <c r="E3" s="3"/>
      <c r="F3" s="3"/>
    </row>
    <row r="4" spans="1:14" x14ac:dyDescent="0.5">
      <c r="A4" s="1"/>
      <c r="B4" s="3" t="s">
        <v>0</v>
      </c>
      <c r="C4" s="4"/>
      <c r="D4" s="3"/>
      <c r="E4" s="3"/>
      <c r="F4" s="3"/>
    </row>
    <row r="5" spans="1:14" ht="23.25" x14ac:dyDescent="0.7">
      <c r="A5" s="2"/>
      <c r="B5" s="3"/>
      <c r="C5" s="2"/>
      <c r="D5" s="2"/>
      <c r="E5" s="2"/>
      <c r="F5" s="2"/>
    </row>
    <row r="6" spans="1:14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5" t="s">
        <v>29</v>
      </c>
    </row>
    <row r="7" spans="1:14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9"/>
    </row>
    <row r="8" spans="1:14" x14ac:dyDescent="0.5">
      <c r="A8" s="7" t="s">
        <v>2</v>
      </c>
      <c r="B8" s="37">
        <v>80000</v>
      </c>
      <c r="C8" s="12">
        <v>80000</v>
      </c>
      <c r="D8" s="12">
        <v>80000</v>
      </c>
      <c r="E8" s="12">
        <v>80000</v>
      </c>
      <c r="F8" s="12">
        <v>80000</v>
      </c>
      <c r="G8" s="12">
        <v>150000</v>
      </c>
      <c r="H8" s="12">
        <v>150000</v>
      </c>
      <c r="I8" s="12">
        <v>150000</v>
      </c>
      <c r="J8" s="12">
        <v>80000</v>
      </c>
      <c r="K8" s="12">
        <v>80000</v>
      </c>
      <c r="L8" s="12">
        <v>80000</v>
      </c>
      <c r="M8" s="12">
        <v>80000</v>
      </c>
      <c r="N8" s="26">
        <f>SUM(B8:M8)</f>
        <v>1170000</v>
      </c>
    </row>
    <row r="9" spans="1:14" x14ac:dyDescent="0.5">
      <c r="A9" s="8" t="s">
        <v>3</v>
      </c>
      <c r="B9" s="38">
        <v>30000</v>
      </c>
      <c r="C9" s="24">
        <v>30000</v>
      </c>
      <c r="D9" s="24">
        <v>30000</v>
      </c>
      <c r="E9" s="24">
        <v>30000</v>
      </c>
      <c r="F9" s="24">
        <v>30000</v>
      </c>
      <c r="G9" s="24">
        <v>60000</v>
      </c>
      <c r="H9" s="24">
        <v>60000</v>
      </c>
      <c r="I9" s="24">
        <v>60000</v>
      </c>
      <c r="J9" s="24">
        <v>30000</v>
      </c>
      <c r="K9" s="24">
        <v>30000</v>
      </c>
      <c r="L9" s="24">
        <v>30000</v>
      </c>
      <c r="M9" s="24">
        <v>30000</v>
      </c>
      <c r="N9" s="27">
        <f>SUM(B9:M9)</f>
        <v>450000</v>
      </c>
    </row>
    <row r="10" spans="1:14" x14ac:dyDescent="0.5">
      <c r="A10" s="9" t="s">
        <v>4</v>
      </c>
      <c r="B10" s="10">
        <f>B8-B9</f>
        <v>50000</v>
      </c>
      <c r="C10" s="10">
        <f t="shared" ref="C10:M10" si="0">C8-C9</f>
        <v>50000</v>
      </c>
      <c r="D10" s="10">
        <f t="shared" si="0"/>
        <v>50000</v>
      </c>
      <c r="E10" s="10">
        <f t="shared" si="0"/>
        <v>50000</v>
      </c>
      <c r="F10" s="10">
        <f t="shared" si="0"/>
        <v>50000</v>
      </c>
      <c r="G10" s="10">
        <f t="shared" si="0"/>
        <v>90000</v>
      </c>
      <c r="H10" s="10">
        <f t="shared" si="0"/>
        <v>90000</v>
      </c>
      <c r="I10" s="10">
        <f t="shared" si="0"/>
        <v>90000</v>
      </c>
      <c r="J10" s="10">
        <f t="shared" si="0"/>
        <v>50000</v>
      </c>
      <c r="K10" s="10">
        <f t="shared" si="0"/>
        <v>50000</v>
      </c>
      <c r="L10" s="10">
        <f t="shared" si="0"/>
        <v>50000</v>
      </c>
      <c r="M10" s="10">
        <f t="shared" si="0"/>
        <v>50000</v>
      </c>
      <c r="N10" s="32">
        <f>SUM(B10:M10)</f>
        <v>720000</v>
      </c>
    </row>
    <row r="11" spans="1:14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0"/>
    </row>
    <row r="12" spans="1:14" x14ac:dyDescent="0.5">
      <c r="A12" s="7" t="s">
        <v>6</v>
      </c>
      <c r="B12" s="12">
        <v>6000</v>
      </c>
      <c r="C12" s="12">
        <v>6000</v>
      </c>
      <c r="D12" s="12">
        <v>6000</v>
      </c>
      <c r="E12" s="12">
        <v>6000</v>
      </c>
      <c r="F12" s="12">
        <v>6000</v>
      </c>
      <c r="G12" s="12">
        <v>6000</v>
      </c>
      <c r="H12" s="12">
        <v>6000</v>
      </c>
      <c r="I12" s="12">
        <v>6000</v>
      </c>
      <c r="J12" s="12">
        <v>6000</v>
      </c>
      <c r="K12" s="12">
        <v>6000</v>
      </c>
      <c r="L12" s="12">
        <v>6000</v>
      </c>
      <c r="M12" s="12">
        <v>6000</v>
      </c>
      <c r="N12" s="26">
        <f>SUM(B12:M12)</f>
        <v>72000</v>
      </c>
    </row>
    <row r="13" spans="1:14" x14ac:dyDescent="0.5">
      <c r="A13" s="7" t="s">
        <v>7</v>
      </c>
      <c r="B13" s="12">
        <v>4000</v>
      </c>
      <c r="C13" s="12">
        <v>4000</v>
      </c>
      <c r="D13" s="12">
        <v>4000</v>
      </c>
      <c r="E13" s="12">
        <v>4000</v>
      </c>
      <c r="F13" s="12">
        <v>4000</v>
      </c>
      <c r="G13" s="12">
        <v>4000</v>
      </c>
      <c r="H13" s="12">
        <v>4000</v>
      </c>
      <c r="I13" s="12">
        <v>4000</v>
      </c>
      <c r="J13" s="12">
        <v>4000</v>
      </c>
      <c r="K13" s="12">
        <v>4000</v>
      </c>
      <c r="L13" s="12">
        <v>4000</v>
      </c>
      <c r="M13" s="12">
        <v>4000</v>
      </c>
      <c r="N13" s="26">
        <f t="shared" ref="N13:N18" si="1">SUM(B13:M13)</f>
        <v>48000</v>
      </c>
    </row>
    <row r="14" spans="1:14" x14ac:dyDescent="0.5">
      <c r="A14" s="7" t="s">
        <v>8</v>
      </c>
      <c r="B14" s="12">
        <v>500</v>
      </c>
      <c r="C14" s="12">
        <v>500</v>
      </c>
      <c r="D14" s="12">
        <v>500</v>
      </c>
      <c r="E14" s="12">
        <v>500</v>
      </c>
      <c r="F14" s="12">
        <v>500</v>
      </c>
      <c r="G14" s="12">
        <v>500</v>
      </c>
      <c r="H14" s="12">
        <v>500</v>
      </c>
      <c r="I14" s="12">
        <v>500</v>
      </c>
      <c r="J14" s="12">
        <v>500</v>
      </c>
      <c r="K14" s="12">
        <v>500</v>
      </c>
      <c r="L14" s="12">
        <v>500</v>
      </c>
      <c r="M14" s="12">
        <v>500</v>
      </c>
      <c r="N14" s="26">
        <f t="shared" si="1"/>
        <v>6000</v>
      </c>
    </row>
    <row r="15" spans="1:14" x14ac:dyDescent="0.5">
      <c r="A15" s="7" t="s">
        <v>9</v>
      </c>
      <c r="B15" s="12">
        <v>30000</v>
      </c>
      <c r="C15" s="12">
        <v>30000</v>
      </c>
      <c r="D15" s="12">
        <v>30000</v>
      </c>
      <c r="E15" s="12">
        <v>30000</v>
      </c>
      <c r="F15" s="12">
        <v>30000</v>
      </c>
      <c r="G15" s="12">
        <v>30000</v>
      </c>
      <c r="H15" s="12">
        <v>30000</v>
      </c>
      <c r="I15" s="12">
        <v>30000</v>
      </c>
      <c r="J15" s="12">
        <v>30000</v>
      </c>
      <c r="K15" s="12">
        <v>30000</v>
      </c>
      <c r="L15" s="12">
        <v>30000</v>
      </c>
      <c r="M15" s="12">
        <v>30000</v>
      </c>
      <c r="N15" s="26">
        <f t="shared" si="1"/>
        <v>360000</v>
      </c>
    </row>
    <row r="16" spans="1:14" x14ac:dyDescent="0.5">
      <c r="A16" s="7" t="s">
        <v>10</v>
      </c>
      <c r="B16" s="12">
        <v>300</v>
      </c>
      <c r="C16" s="12">
        <v>300</v>
      </c>
      <c r="D16" s="12">
        <v>300</v>
      </c>
      <c r="E16" s="12">
        <v>300</v>
      </c>
      <c r="F16" s="12">
        <v>300</v>
      </c>
      <c r="G16" s="12">
        <v>300</v>
      </c>
      <c r="H16" s="12">
        <v>300</v>
      </c>
      <c r="I16" s="12">
        <v>300</v>
      </c>
      <c r="J16" s="12">
        <v>300</v>
      </c>
      <c r="K16" s="12">
        <v>300</v>
      </c>
      <c r="L16" s="12">
        <v>300</v>
      </c>
      <c r="M16" s="12">
        <v>300</v>
      </c>
      <c r="N16" s="26">
        <f t="shared" si="1"/>
        <v>3600</v>
      </c>
    </row>
    <row r="17" spans="1:14" x14ac:dyDescent="0.5">
      <c r="A17" s="7" t="s">
        <v>11</v>
      </c>
      <c r="B17" s="12">
        <v>5000</v>
      </c>
      <c r="C17" s="12">
        <v>5000</v>
      </c>
      <c r="D17" s="12">
        <v>5000</v>
      </c>
      <c r="E17" s="12">
        <v>5000</v>
      </c>
      <c r="F17" s="12">
        <v>5000</v>
      </c>
      <c r="G17" s="12">
        <v>5000</v>
      </c>
      <c r="H17" s="12">
        <v>5000</v>
      </c>
      <c r="I17" s="12">
        <v>5000</v>
      </c>
      <c r="J17" s="12">
        <v>5000</v>
      </c>
      <c r="K17" s="12">
        <v>5000</v>
      </c>
      <c r="L17" s="12">
        <v>5000</v>
      </c>
      <c r="M17" s="12">
        <v>5000</v>
      </c>
      <c r="N17" s="26">
        <f t="shared" si="1"/>
        <v>60000</v>
      </c>
    </row>
    <row r="18" spans="1:14" x14ac:dyDescent="0.5">
      <c r="A18" s="7" t="s">
        <v>12</v>
      </c>
      <c r="B18" s="24">
        <v>1000</v>
      </c>
      <c r="C18" s="24">
        <v>1000</v>
      </c>
      <c r="D18" s="24">
        <v>1000</v>
      </c>
      <c r="E18" s="24">
        <v>1000</v>
      </c>
      <c r="F18" s="24">
        <v>1000</v>
      </c>
      <c r="G18" s="24">
        <v>1000</v>
      </c>
      <c r="H18" s="24">
        <v>1000</v>
      </c>
      <c r="I18" s="24">
        <v>1000</v>
      </c>
      <c r="J18" s="24">
        <v>1000</v>
      </c>
      <c r="K18" s="24">
        <v>1000</v>
      </c>
      <c r="L18" s="24">
        <v>1000</v>
      </c>
      <c r="M18" s="24">
        <v>1000</v>
      </c>
      <c r="N18" s="27">
        <f t="shared" si="1"/>
        <v>12000</v>
      </c>
    </row>
    <row r="19" spans="1:14" x14ac:dyDescent="0.5">
      <c r="A19" s="13" t="s">
        <v>13</v>
      </c>
      <c r="B19" s="10">
        <f>SUM(B12:B18)</f>
        <v>46800</v>
      </c>
      <c r="C19" s="10">
        <f t="shared" ref="C19:M19" si="2">SUM(C12:C18)</f>
        <v>46800</v>
      </c>
      <c r="D19" s="10">
        <f t="shared" si="2"/>
        <v>46800</v>
      </c>
      <c r="E19" s="10">
        <f t="shared" si="2"/>
        <v>46800</v>
      </c>
      <c r="F19" s="10">
        <f t="shared" si="2"/>
        <v>46800</v>
      </c>
      <c r="G19" s="10">
        <f t="shared" si="2"/>
        <v>46800</v>
      </c>
      <c r="H19" s="10">
        <f t="shared" si="2"/>
        <v>46800</v>
      </c>
      <c r="I19" s="10">
        <f t="shared" si="2"/>
        <v>46800</v>
      </c>
      <c r="J19" s="10">
        <f t="shared" si="2"/>
        <v>46800</v>
      </c>
      <c r="K19" s="10">
        <f t="shared" si="2"/>
        <v>46800</v>
      </c>
      <c r="L19" s="10">
        <f t="shared" si="2"/>
        <v>46800</v>
      </c>
      <c r="M19" s="10">
        <f t="shared" si="2"/>
        <v>46800</v>
      </c>
      <c r="N19" s="32">
        <f>SUM(B19:M19)</f>
        <v>561600</v>
      </c>
    </row>
    <row r="20" spans="1:14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1"/>
    </row>
    <row r="21" spans="1:14" x14ac:dyDescent="0.5">
      <c r="A21" s="9" t="s">
        <v>15</v>
      </c>
      <c r="B21" s="16">
        <f>B10-B19</f>
        <v>3200</v>
      </c>
      <c r="C21" s="16">
        <f t="shared" ref="C21:N21" si="3">C10-C19</f>
        <v>3200</v>
      </c>
      <c r="D21" s="16">
        <f t="shared" si="3"/>
        <v>3200</v>
      </c>
      <c r="E21" s="16">
        <f t="shared" si="3"/>
        <v>3200</v>
      </c>
      <c r="F21" s="16">
        <f t="shared" si="3"/>
        <v>3200</v>
      </c>
      <c r="G21" s="16">
        <f t="shared" si="3"/>
        <v>43200</v>
      </c>
      <c r="H21" s="16">
        <f t="shared" si="3"/>
        <v>43200</v>
      </c>
      <c r="I21" s="16">
        <f t="shared" si="3"/>
        <v>43200</v>
      </c>
      <c r="J21" s="16">
        <f t="shared" si="3"/>
        <v>3200</v>
      </c>
      <c r="K21" s="16">
        <f t="shared" si="3"/>
        <v>3200</v>
      </c>
      <c r="L21" s="16">
        <f t="shared" si="3"/>
        <v>3200</v>
      </c>
      <c r="M21" s="16">
        <f t="shared" si="3"/>
        <v>3200</v>
      </c>
      <c r="N21" s="33">
        <f t="shared" si="3"/>
        <v>158400</v>
      </c>
    </row>
    <row r="22" spans="1:14" x14ac:dyDescent="0.5">
      <c r="A22" s="17" t="s">
        <v>16</v>
      </c>
      <c r="B22" s="18">
        <f>0.21*B21</f>
        <v>672</v>
      </c>
      <c r="C22" s="18">
        <f t="shared" ref="C22:M22" si="4">0.21*C21</f>
        <v>672</v>
      </c>
      <c r="D22" s="18">
        <f t="shared" si="4"/>
        <v>672</v>
      </c>
      <c r="E22" s="18">
        <f t="shared" si="4"/>
        <v>672</v>
      </c>
      <c r="F22" s="18">
        <f t="shared" si="4"/>
        <v>672</v>
      </c>
      <c r="G22" s="18">
        <f t="shared" si="4"/>
        <v>9072</v>
      </c>
      <c r="H22" s="18">
        <f t="shared" si="4"/>
        <v>9072</v>
      </c>
      <c r="I22" s="18">
        <f t="shared" si="4"/>
        <v>9072</v>
      </c>
      <c r="J22" s="18">
        <f t="shared" si="4"/>
        <v>672</v>
      </c>
      <c r="K22" s="18">
        <f t="shared" si="4"/>
        <v>672</v>
      </c>
      <c r="L22" s="18">
        <f t="shared" si="4"/>
        <v>672</v>
      </c>
      <c r="M22" s="18">
        <f t="shared" si="4"/>
        <v>672</v>
      </c>
      <c r="N22" s="28">
        <f>SUM(B22:M22)</f>
        <v>33264</v>
      </c>
    </row>
    <row r="23" spans="1:14" ht="16.149999999999999" thickBot="1" x14ac:dyDescent="0.55000000000000004">
      <c r="A23" s="19" t="s">
        <v>17</v>
      </c>
      <c r="B23" s="20">
        <f>B21-B22</f>
        <v>2528</v>
      </c>
      <c r="C23" s="20">
        <f t="shared" ref="C23:M23" si="5">C21-C22</f>
        <v>2528</v>
      </c>
      <c r="D23" s="20">
        <f t="shared" si="5"/>
        <v>2528</v>
      </c>
      <c r="E23" s="20">
        <f t="shared" si="5"/>
        <v>2528</v>
      </c>
      <c r="F23" s="20">
        <f t="shared" si="5"/>
        <v>2528</v>
      </c>
      <c r="G23" s="20">
        <f t="shared" si="5"/>
        <v>34128</v>
      </c>
      <c r="H23" s="20">
        <f t="shared" si="5"/>
        <v>34128</v>
      </c>
      <c r="I23" s="20">
        <f t="shared" si="5"/>
        <v>34128</v>
      </c>
      <c r="J23" s="20">
        <f t="shared" si="5"/>
        <v>2528</v>
      </c>
      <c r="K23" s="20">
        <f t="shared" si="5"/>
        <v>2528</v>
      </c>
      <c r="L23" s="20">
        <f t="shared" si="5"/>
        <v>2528</v>
      </c>
      <c r="M23" s="20">
        <f t="shared" si="5"/>
        <v>2528</v>
      </c>
      <c r="N23" s="34">
        <f>N21-N22</f>
        <v>125136</v>
      </c>
    </row>
    <row r="24" spans="1:14" ht="16.149999999999999" thickTop="1" x14ac:dyDescent="0.5"/>
    <row r="30" spans="1:14" x14ac:dyDescent="0.5">
      <c r="K30" s="23"/>
    </row>
    <row r="31" spans="1:14" x14ac:dyDescent="0.5">
      <c r="K31" s="23"/>
    </row>
    <row r="32" spans="1:14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2E42-079D-4F6C-BB11-6EBE3A8416D9}">
  <dimension ref="A1:N45"/>
  <sheetViews>
    <sheetView showGridLines="0" zoomScale="90" zoomScaleNormal="90" workbookViewId="0">
      <selection activeCell="B12" sqref="B12:M18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14" ht="23.25" x14ac:dyDescent="0.7">
      <c r="A1" s="1"/>
      <c r="B1" s="2"/>
      <c r="C1" s="3"/>
      <c r="D1" s="3"/>
      <c r="E1" s="3"/>
      <c r="F1" s="3"/>
    </row>
    <row r="2" spans="1:14" x14ac:dyDescent="0.5">
      <c r="A2" s="1"/>
      <c r="B2" s="4" t="s">
        <v>37</v>
      </c>
      <c r="C2" s="4"/>
      <c r="D2" s="3"/>
      <c r="E2" s="3"/>
      <c r="F2" s="3"/>
    </row>
    <row r="3" spans="1:14" x14ac:dyDescent="0.5">
      <c r="A3" s="1"/>
      <c r="B3" s="4" t="s">
        <v>39</v>
      </c>
      <c r="C3" s="4"/>
      <c r="D3" s="3"/>
      <c r="E3" s="3"/>
      <c r="F3" s="3"/>
    </row>
    <row r="4" spans="1:14" x14ac:dyDescent="0.5">
      <c r="A4" s="1"/>
      <c r="B4" s="3" t="s">
        <v>0</v>
      </c>
      <c r="C4" s="4"/>
      <c r="D4" s="3"/>
      <c r="E4" s="3"/>
      <c r="F4" s="3"/>
    </row>
    <row r="5" spans="1:14" ht="23.25" x14ac:dyDescent="0.7">
      <c r="A5" s="2"/>
      <c r="B5" s="3"/>
      <c r="C5" s="2"/>
      <c r="D5" s="2"/>
      <c r="E5" s="2"/>
      <c r="F5" s="2"/>
    </row>
    <row r="6" spans="1:14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5" t="s">
        <v>29</v>
      </c>
    </row>
    <row r="7" spans="1:14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9"/>
    </row>
    <row r="8" spans="1:14" x14ac:dyDescent="0.5">
      <c r="A8" s="7" t="s">
        <v>2</v>
      </c>
      <c r="B8" s="37">
        <v>84000</v>
      </c>
      <c r="C8" s="12">
        <v>84000</v>
      </c>
      <c r="D8" s="12">
        <v>84000</v>
      </c>
      <c r="E8" s="12">
        <v>84000</v>
      </c>
      <c r="F8" s="12">
        <v>84000</v>
      </c>
      <c r="G8" s="12">
        <v>157500</v>
      </c>
      <c r="H8" s="12">
        <v>157500</v>
      </c>
      <c r="I8" s="12">
        <v>157500</v>
      </c>
      <c r="J8" s="12">
        <v>84000</v>
      </c>
      <c r="K8" s="12">
        <v>84000</v>
      </c>
      <c r="L8" s="12">
        <v>84000</v>
      </c>
      <c r="M8" s="12">
        <v>84000</v>
      </c>
      <c r="N8" s="26">
        <f>SUM(B8:M8)</f>
        <v>1228500</v>
      </c>
    </row>
    <row r="9" spans="1:14" x14ac:dyDescent="0.5">
      <c r="A9" s="8" t="s">
        <v>3</v>
      </c>
      <c r="B9" s="38">
        <v>31500</v>
      </c>
      <c r="C9" s="24">
        <v>31500</v>
      </c>
      <c r="D9" s="24">
        <v>31500</v>
      </c>
      <c r="E9" s="24">
        <v>31500</v>
      </c>
      <c r="F9" s="24">
        <v>31500</v>
      </c>
      <c r="G9" s="24">
        <v>63000</v>
      </c>
      <c r="H9" s="24">
        <v>63000</v>
      </c>
      <c r="I9" s="24">
        <v>63000</v>
      </c>
      <c r="J9" s="24">
        <v>31500</v>
      </c>
      <c r="K9" s="24">
        <v>31500</v>
      </c>
      <c r="L9" s="24">
        <v>31500</v>
      </c>
      <c r="M9" s="24">
        <v>31500</v>
      </c>
      <c r="N9" s="27">
        <f>SUM(B9:M9)</f>
        <v>472500</v>
      </c>
    </row>
    <row r="10" spans="1:14" x14ac:dyDescent="0.5">
      <c r="A10" s="9" t="s">
        <v>4</v>
      </c>
      <c r="B10" s="10">
        <f>B8-B9</f>
        <v>52500</v>
      </c>
      <c r="C10" s="10">
        <f t="shared" ref="C10:M10" si="0">C8-C9</f>
        <v>52500</v>
      </c>
      <c r="D10" s="10">
        <f t="shared" si="0"/>
        <v>52500</v>
      </c>
      <c r="E10" s="10">
        <f t="shared" si="0"/>
        <v>52500</v>
      </c>
      <c r="F10" s="10">
        <f t="shared" si="0"/>
        <v>52500</v>
      </c>
      <c r="G10" s="10">
        <f t="shared" si="0"/>
        <v>94500</v>
      </c>
      <c r="H10" s="10">
        <f t="shared" si="0"/>
        <v>94500</v>
      </c>
      <c r="I10" s="10">
        <f t="shared" si="0"/>
        <v>94500</v>
      </c>
      <c r="J10" s="10">
        <f t="shared" si="0"/>
        <v>52500</v>
      </c>
      <c r="K10" s="10">
        <f t="shared" si="0"/>
        <v>52500</v>
      </c>
      <c r="L10" s="10">
        <f t="shared" si="0"/>
        <v>52500</v>
      </c>
      <c r="M10" s="10">
        <f t="shared" si="0"/>
        <v>52500</v>
      </c>
      <c r="N10" s="32">
        <f>SUM(B10:M10)</f>
        <v>756000</v>
      </c>
    </row>
    <row r="11" spans="1:14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0"/>
    </row>
    <row r="12" spans="1:14" x14ac:dyDescent="0.5">
      <c r="A12" s="7" t="s">
        <v>6</v>
      </c>
      <c r="B12" s="12">
        <v>6300</v>
      </c>
      <c r="C12" s="12">
        <v>6300</v>
      </c>
      <c r="D12" s="12">
        <v>6300</v>
      </c>
      <c r="E12" s="12">
        <v>6300</v>
      </c>
      <c r="F12" s="12">
        <v>6300</v>
      </c>
      <c r="G12" s="12">
        <v>6300</v>
      </c>
      <c r="H12" s="12">
        <v>6300</v>
      </c>
      <c r="I12" s="12">
        <v>6300</v>
      </c>
      <c r="J12" s="12">
        <v>6300</v>
      </c>
      <c r="K12" s="12">
        <v>6300</v>
      </c>
      <c r="L12" s="12">
        <v>6300</v>
      </c>
      <c r="M12" s="12">
        <v>6300</v>
      </c>
      <c r="N12" s="26">
        <f>SUM(B12:M12)</f>
        <v>75600</v>
      </c>
    </row>
    <row r="13" spans="1:14" x14ac:dyDescent="0.5">
      <c r="A13" s="7" t="s">
        <v>7</v>
      </c>
      <c r="B13" s="12">
        <v>4200</v>
      </c>
      <c r="C13" s="12">
        <v>4200</v>
      </c>
      <c r="D13" s="12">
        <v>4200</v>
      </c>
      <c r="E13" s="12">
        <v>4200</v>
      </c>
      <c r="F13" s="12">
        <v>4200</v>
      </c>
      <c r="G13" s="12">
        <v>4200</v>
      </c>
      <c r="H13" s="12">
        <v>4200</v>
      </c>
      <c r="I13" s="12">
        <v>4200</v>
      </c>
      <c r="J13" s="12">
        <v>4200</v>
      </c>
      <c r="K13" s="12">
        <v>4200</v>
      </c>
      <c r="L13" s="12">
        <v>4200</v>
      </c>
      <c r="M13" s="12">
        <v>4200</v>
      </c>
      <c r="N13" s="26">
        <f t="shared" ref="N13:N18" si="1">SUM(B13:M13)</f>
        <v>50400</v>
      </c>
    </row>
    <row r="14" spans="1:14" x14ac:dyDescent="0.5">
      <c r="A14" s="7" t="s">
        <v>8</v>
      </c>
      <c r="B14" s="12">
        <v>530</v>
      </c>
      <c r="C14" s="12">
        <v>530</v>
      </c>
      <c r="D14" s="12">
        <v>530</v>
      </c>
      <c r="E14" s="12">
        <v>530</v>
      </c>
      <c r="F14" s="12">
        <v>530</v>
      </c>
      <c r="G14" s="12">
        <v>530</v>
      </c>
      <c r="H14" s="12">
        <v>530</v>
      </c>
      <c r="I14" s="12">
        <v>530</v>
      </c>
      <c r="J14" s="12">
        <v>530</v>
      </c>
      <c r="K14" s="12">
        <v>530</v>
      </c>
      <c r="L14" s="12">
        <v>530</v>
      </c>
      <c r="M14" s="12">
        <v>530</v>
      </c>
      <c r="N14" s="26">
        <f t="shared" si="1"/>
        <v>6360</v>
      </c>
    </row>
    <row r="15" spans="1:14" x14ac:dyDescent="0.5">
      <c r="A15" s="7" t="s">
        <v>9</v>
      </c>
      <c r="B15" s="12">
        <v>31500</v>
      </c>
      <c r="C15" s="12">
        <v>31500</v>
      </c>
      <c r="D15" s="12">
        <v>31500</v>
      </c>
      <c r="E15" s="12">
        <v>31500</v>
      </c>
      <c r="F15" s="12">
        <v>31500</v>
      </c>
      <c r="G15" s="12">
        <v>31500</v>
      </c>
      <c r="H15" s="12">
        <v>31500</v>
      </c>
      <c r="I15" s="12">
        <v>31500</v>
      </c>
      <c r="J15" s="12">
        <v>31500</v>
      </c>
      <c r="K15" s="12">
        <v>31500</v>
      </c>
      <c r="L15" s="12">
        <v>31500</v>
      </c>
      <c r="M15" s="12">
        <v>31500</v>
      </c>
      <c r="N15" s="26">
        <f t="shared" si="1"/>
        <v>378000</v>
      </c>
    </row>
    <row r="16" spans="1:14" x14ac:dyDescent="0.5">
      <c r="A16" s="7" t="s">
        <v>10</v>
      </c>
      <c r="B16" s="12">
        <v>320</v>
      </c>
      <c r="C16" s="12">
        <v>320</v>
      </c>
      <c r="D16" s="12">
        <v>320</v>
      </c>
      <c r="E16" s="12">
        <v>320</v>
      </c>
      <c r="F16" s="12">
        <v>320</v>
      </c>
      <c r="G16" s="12">
        <v>320</v>
      </c>
      <c r="H16" s="12">
        <v>320</v>
      </c>
      <c r="I16" s="12">
        <v>320</v>
      </c>
      <c r="J16" s="12">
        <v>320</v>
      </c>
      <c r="K16" s="12">
        <v>320</v>
      </c>
      <c r="L16" s="12">
        <v>320</v>
      </c>
      <c r="M16" s="12">
        <v>320</v>
      </c>
      <c r="N16" s="26">
        <f t="shared" si="1"/>
        <v>3840</v>
      </c>
    </row>
    <row r="17" spans="1:14" x14ac:dyDescent="0.5">
      <c r="A17" s="7" t="s">
        <v>11</v>
      </c>
      <c r="B17" s="12">
        <v>5250</v>
      </c>
      <c r="C17" s="12">
        <v>5250</v>
      </c>
      <c r="D17" s="12">
        <v>5250</v>
      </c>
      <c r="E17" s="12">
        <v>5250</v>
      </c>
      <c r="F17" s="12">
        <v>5250</v>
      </c>
      <c r="G17" s="12">
        <v>5250</v>
      </c>
      <c r="H17" s="12">
        <v>5250</v>
      </c>
      <c r="I17" s="12">
        <v>5250</v>
      </c>
      <c r="J17" s="12">
        <v>5250</v>
      </c>
      <c r="K17" s="12">
        <v>5250</v>
      </c>
      <c r="L17" s="12">
        <v>5250</v>
      </c>
      <c r="M17" s="12">
        <v>5250</v>
      </c>
      <c r="N17" s="26">
        <f t="shared" si="1"/>
        <v>63000</v>
      </c>
    </row>
    <row r="18" spans="1:14" x14ac:dyDescent="0.5">
      <c r="A18" s="7" t="s">
        <v>12</v>
      </c>
      <c r="B18" s="24">
        <v>1050</v>
      </c>
      <c r="C18" s="24">
        <v>1050</v>
      </c>
      <c r="D18" s="24">
        <v>1050</v>
      </c>
      <c r="E18" s="24">
        <v>1050</v>
      </c>
      <c r="F18" s="24">
        <v>1050</v>
      </c>
      <c r="G18" s="24">
        <v>1050</v>
      </c>
      <c r="H18" s="24">
        <v>1050</v>
      </c>
      <c r="I18" s="24">
        <v>1050</v>
      </c>
      <c r="J18" s="24">
        <v>1050</v>
      </c>
      <c r="K18" s="24">
        <v>1050</v>
      </c>
      <c r="L18" s="24">
        <v>1050</v>
      </c>
      <c r="M18" s="24">
        <v>1050</v>
      </c>
      <c r="N18" s="27">
        <f t="shared" si="1"/>
        <v>12600</v>
      </c>
    </row>
    <row r="19" spans="1:14" x14ac:dyDescent="0.5">
      <c r="A19" s="13" t="s">
        <v>13</v>
      </c>
      <c r="B19" s="10">
        <f>SUM(B12:B18)</f>
        <v>49150</v>
      </c>
      <c r="C19" s="10">
        <f t="shared" ref="C19:M19" si="2">SUM(C12:C18)</f>
        <v>49150</v>
      </c>
      <c r="D19" s="10">
        <f t="shared" si="2"/>
        <v>49150</v>
      </c>
      <c r="E19" s="10">
        <f t="shared" si="2"/>
        <v>49150</v>
      </c>
      <c r="F19" s="10">
        <f t="shared" si="2"/>
        <v>49150</v>
      </c>
      <c r="G19" s="10">
        <f t="shared" si="2"/>
        <v>49150</v>
      </c>
      <c r="H19" s="10">
        <f t="shared" si="2"/>
        <v>49150</v>
      </c>
      <c r="I19" s="10">
        <f t="shared" si="2"/>
        <v>49150</v>
      </c>
      <c r="J19" s="10">
        <f t="shared" si="2"/>
        <v>49150</v>
      </c>
      <c r="K19" s="10">
        <f t="shared" si="2"/>
        <v>49150</v>
      </c>
      <c r="L19" s="10">
        <f t="shared" si="2"/>
        <v>49150</v>
      </c>
      <c r="M19" s="10">
        <f t="shared" si="2"/>
        <v>49150</v>
      </c>
      <c r="N19" s="32">
        <f>SUM(B19:M19)</f>
        <v>589800</v>
      </c>
    </row>
    <row r="20" spans="1:14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1"/>
    </row>
    <row r="21" spans="1:14" x14ac:dyDescent="0.5">
      <c r="A21" s="9" t="s">
        <v>15</v>
      </c>
      <c r="B21" s="16">
        <f>B10-B19</f>
        <v>3350</v>
      </c>
      <c r="C21" s="16">
        <f t="shared" ref="C21:N21" si="3">C10-C19</f>
        <v>3350</v>
      </c>
      <c r="D21" s="16">
        <f t="shared" si="3"/>
        <v>3350</v>
      </c>
      <c r="E21" s="16">
        <f t="shared" si="3"/>
        <v>3350</v>
      </c>
      <c r="F21" s="16">
        <f t="shared" si="3"/>
        <v>3350</v>
      </c>
      <c r="G21" s="16">
        <f t="shared" si="3"/>
        <v>45350</v>
      </c>
      <c r="H21" s="16">
        <f t="shared" si="3"/>
        <v>45350</v>
      </c>
      <c r="I21" s="16">
        <f t="shared" si="3"/>
        <v>45350</v>
      </c>
      <c r="J21" s="16">
        <f t="shared" si="3"/>
        <v>3350</v>
      </c>
      <c r="K21" s="16">
        <f t="shared" si="3"/>
        <v>3350</v>
      </c>
      <c r="L21" s="16">
        <f t="shared" si="3"/>
        <v>3350</v>
      </c>
      <c r="M21" s="16">
        <f t="shared" si="3"/>
        <v>3350</v>
      </c>
      <c r="N21" s="33">
        <f t="shared" si="3"/>
        <v>166200</v>
      </c>
    </row>
    <row r="22" spans="1:14" x14ac:dyDescent="0.5">
      <c r="A22" s="17" t="s">
        <v>16</v>
      </c>
      <c r="B22" s="18">
        <f>0.21*B21</f>
        <v>703.5</v>
      </c>
      <c r="C22" s="18">
        <f t="shared" ref="C22:M22" si="4">0.21*C21</f>
        <v>703.5</v>
      </c>
      <c r="D22" s="18">
        <f t="shared" si="4"/>
        <v>703.5</v>
      </c>
      <c r="E22" s="18">
        <f t="shared" si="4"/>
        <v>703.5</v>
      </c>
      <c r="F22" s="18">
        <f t="shared" si="4"/>
        <v>703.5</v>
      </c>
      <c r="G22" s="18">
        <f t="shared" si="4"/>
        <v>9523.5</v>
      </c>
      <c r="H22" s="18">
        <f t="shared" si="4"/>
        <v>9523.5</v>
      </c>
      <c r="I22" s="18">
        <f t="shared" si="4"/>
        <v>9523.5</v>
      </c>
      <c r="J22" s="18">
        <f t="shared" si="4"/>
        <v>703.5</v>
      </c>
      <c r="K22" s="18">
        <f t="shared" si="4"/>
        <v>703.5</v>
      </c>
      <c r="L22" s="18">
        <f t="shared" si="4"/>
        <v>703.5</v>
      </c>
      <c r="M22" s="18">
        <f t="shared" si="4"/>
        <v>703.5</v>
      </c>
      <c r="N22" s="28">
        <f>SUM(B22:M22)</f>
        <v>34902</v>
      </c>
    </row>
    <row r="23" spans="1:14" ht="16.149999999999999" thickBot="1" x14ac:dyDescent="0.55000000000000004">
      <c r="A23" s="19" t="s">
        <v>17</v>
      </c>
      <c r="B23" s="20">
        <f>B21-B22</f>
        <v>2646.5</v>
      </c>
      <c r="C23" s="20">
        <f t="shared" ref="C23:M23" si="5">C21-C22</f>
        <v>2646.5</v>
      </c>
      <c r="D23" s="20">
        <f t="shared" si="5"/>
        <v>2646.5</v>
      </c>
      <c r="E23" s="20">
        <f t="shared" si="5"/>
        <v>2646.5</v>
      </c>
      <c r="F23" s="20">
        <f t="shared" si="5"/>
        <v>2646.5</v>
      </c>
      <c r="G23" s="20">
        <f t="shared" si="5"/>
        <v>35826.5</v>
      </c>
      <c r="H23" s="20">
        <f t="shared" si="5"/>
        <v>35826.5</v>
      </c>
      <c r="I23" s="20">
        <f t="shared" si="5"/>
        <v>35826.5</v>
      </c>
      <c r="J23" s="20">
        <f t="shared" si="5"/>
        <v>2646.5</v>
      </c>
      <c r="K23" s="20">
        <f t="shared" si="5"/>
        <v>2646.5</v>
      </c>
      <c r="L23" s="20">
        <f t="shared" si="5"/>
        <v>2646.5</v>
      </c>
      <c r="M23" s="20">
        <f t="shared" si="5"/>
        <v>2646.5</v>
      </c>
      <c r="N23" s="34">
        <f>N21-N22</f>
        <v>131298</v>
      </c>
    </row>
    <row r="24" spans="1:14" ht="16.149999999999999" thickTop="1" x14ac:dyDescent="0.5"/>
    <row r="30" spans="1:14" x14ac:dyDescent="0.5">
      <c r="K30" s="23"/>
    </row>
    <row r="31" spans="1:14" x14ac:dyDescent="0.5">
      <c r="K31" s="23"/>
    </row>
    <row r="32" spans="1:14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33B8-A222-4293-9700-DB452F079620}">
  <dimension ref="A1:N45"/>
  <sheetViews>
    <sheetView showGridLines="0" tabSelected="1" zoomScale="90" zoomScaleNormal="90" workbookViewId="0">
      <selection activeCell="B29" sqref="B29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14" ht="23.25" x14ac:dyDescent="0.7">
      <c r="A1" s="1"/>
      <c r="B1" s="2"/>
      <c r="C1" s="3"/>
      <c r="D1" s="3"/>
      <c r="E1" s="3"/>
      <c r="F1" s="3"/>
    </row>
    <row r="2" spans="1:14" x14ac:dyDescent="0.5">
      <c r="A2" s="1"/>
      <c r="B2" s="4" t="s">
        <v>37</v>
      </c>
      <c r="C2" s="4"/>
      <c r="D2" s="3"/>
      <c r="E2" s="3"/>
      <c r="F2" s="3"/>
    </row>
    <row r="3" spans="1:14" x14ac:dyDescent="0.5">
      <c r="A3" s="1"/>
      <c r="B3" s="4" t="s">
        <v>40</v>
      </c>
      <c r="C3" s="4"/>
      <c r="D3" s="3"/>
      <c r="E3" s="3"/>
      <c r="F3" s="3"/>
    </row>
    <row r="4" spans="1:14" x14ac:dyDescent="0.5">
      <c r="A4" s="1"/>
      <c r="B4" s="3" t="s">
        <v>0</v>
      </c>
      <c r="C4" s="4"/>
      <c r="D4" s="3"/>
      <c r="E4" s="3"/>
      <c r="F4" s="3"/>
    </row>
    <row r="5" spans="1:14" ht="23.25" x14ac:dyDescent="0.7">
      <c r="A5" s="2"/>
      <c r="B5" s="3"/>
      <c r="C5" s="2"/>
      <c r="D5" s="2"/>
      <c r="E5" s="2"/>
      <c r="F5" s="2"/>
    </row>
    <row r="6" spans="1:14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5" t="s">
        <v>29</v>
      </c>
    </row>
    <row r="7" spans="1:14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9"/>
    </row>
    <row r="8" spans="1:14" x14ac:dyDescent="0.5">
      <c r="A8" s="7" t="s">
        <v>2</v>
      </c>
      <c r="B8" s="37">
        <v>88200</v>
      </c>
      <c r="C8" s="12">
        <v>88200</v>
      </c>
      <c r="D8" s="12">
        <v>88200</v>
      </c>
      <c r="E8" s="12">
        <v>88200</v>
      </c>
      <c r="F8" s="12">
        <v>88200</v>
      </c>
      <c r="G8" s="12">
        <v>165380</v>
      </c>
      <c r="H8" s="12">
        <v>165380</v>
      </c>
      <c r="I8" s="12">
        <v>165380</v>
      </c>
      <c r="J8" s="12">
        <v>88200</v>
      </c>
      <c r="K8" s="12">
        <v>88200</v>
      </c>
      <c r="L8" s="12">
        <v>88200</v>
      </c>
      <c r="M8" s="12">
        <v>88200</v>
      </c>
      <c r="N8" s="26">
        <f>SUM(B8:M8)</f>
        <v>1289940</v>
      </c>
    </row>
    <row r="9" spans="1:14" x14ac:dyDescent="0.5">
      <c r="A9" s="8" t="s">
        <v>3</v>
      </c>
      <c r="B9" s="38">
        <v>33080</v>
      </c>
      <c r="C9" s="24">
        <v>33080</v>
      </c>
      <c r="D9" s="24">
        <v>33080</v>
      </c>
      <c r="E9" s="24">
        <v>33080</v>
      </c>
      <c r="F9" s="24">
        <v>33080</v>
      </c>
      <c r="G9" s="24">
        <v>66150</v>
      </c>
      <c r="H9" s="24">
        <v>66150</v>
      </c>
      <c r="I9" s="24">
        <v>66150</v>
      </c>
      <c r="J9" s="24">
        <v>33080</v>
      </c>
      <c r="K9" s="24">
        <v>33080</v>
      </c>
      <c r="L9" s="24">
        <v>33080</v>
      </c>
      <c r="M9" s="24">
        <v>33080</v>
      </c>
      <c r="N9" s="27">
        <f>SUM(B9:M9)</f>
        <v>496170</v>
      </c>
    </row>
    <row r="10" spans="1:14" x14ac:dyDescent="0.5">
      <c r="A10" s="9" t="s">
        <v>4</v>
      </c>
      <c r="B10" s="10">
        <f>B8-B9</f>
        <v>55120</v>
      </c>
      <c r="C10" s="10">
        <f t="shared" ref="C10:M10" si="0">C8-C9</f>
        <v>55120</v>
      </c>
      <c r="D10" s="10">
        <f t="shared" si="0"/>
        <v>55120</v>
      </c>
      <c r="E10" s="10">
        <f t="shared" si="0"/>
        <v>55120</v>
      </c>
      <c r="F10" s="10">
        <f t="shared" si="0"/>
        <v>55120</v>
      </c>
      <c r="G10" s="10">
        <f t="shared" si="0"/>
        <v>99230</v>
      </c>
      <c r="H10" s="10">
        <f t="shared" si="0"/>
        <v>99230</v>
      </c>
      <c r="I10" s="10">
        <f t="shared" si="0"/>
        <v>99230</v>
      </c>
      <c r="J10" s="10">
        <f t="shared" si="0"/>
        <v>55120</v>
      </c>
      <c r="K10" s="10">
        <f t="shared" si="0"/>
        <v>55120</v>
      </c>
      <c r="L10" s="10">
        <f t="shared" si="0"/>
        <v>55120</v>
      </c>
      <c r="M10" s="10">
        <f t="shared" si="0"/>
        <v>55120</v>
      </c>
      <c r="N10" s="32">
        <f>SUM(B10:M10)</f>
        <v>793770</v>
      </c>
    </row>
    <row r="11" spans="1:14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0"/>
    </row>
    <row r="12" spans="1:14" x14ac:dyDescent="0.5">
      <c r="A12" s="7" t="s">
        <v>6</v>
      </c>
      <c r="B12" s="12">
        <v>6620</v>
      </c>
      <c r="C12" s="12">
        <v>6620</v>
      </c>
      <c r="D12" s="12">
        <v>6620</v>
      </c>
      <c r="E12" s="12">
        <v>6620</v>
      </c>
      <c r="F12" s="12">
        <v>6620</v>
      </c>
      <c r="G12" s="12">
        <v>6620</v>
      </c>
      <c r="H12" s="12">
        <v>6620</v>
      </c>
      <c r="I12" s="12">
        <v>6620</v>
      </c>
      <c r="J12" s="12">
        <v>6620</v>
      </c>
      <c r="K12" s="12">
        <v>6620</v>
      </c>
      <c r="L12" s="12">
        <v>6620</v>
      </c>
      <c r="M12" s="12">
        <v>6620</v>
      </c>
      <c r="N12" s="26">
        <f>SUM(B12:M12)</f>
        <v>79440</v>
      </c>
    </row>
    <row r="13" spans="1:14" x14ac:dyDescent="0.5">
      <c r="A13" s="7" t="s">
        <v>7</v>
      </c>
      <c r="B13" s="12">
        <v>4410</v>
      </c>
      <c r="C13" s="12">
        <v>4410</v>
      </c>
      <c r="D13" s="12">
        <v>4410</v>
      </c>
      <c r="E13" s="12">
        <v>4410</v>
      </c>
      <c r="F13" s="12">
        <v>4410</v>
      </c>
      <c r="G13" s="12">
        <v>4410</v>
      </c>
      <c r="H13" s="12">
        <v>4410</v>
      </c>
      <c r="I13" s="12">
        <v>4410</v>
      </c>
      <c r="J13" s="12">
        <v>4410</v>
      </c>
      <c r="K13" s="12">
        <v>4410</v>
      </c>
      <c r="L13" s="12">
        <v>4410</v>
      </c>
      <c r="M13" s="12">
        <v>4410</v>
      </c>
      <c r="N13" s="26">
        <f t="shared" ref="N13:N18" si="1">SUM(B13:M13)</f>
        <v>52920</v>
      </c>
    </row>
    <row r="14" spans="1:14" x14ac:dyDescent="0.5">
      <c r="A14" s="7" t="s">
        <v>8</v>
      </c>
      <c r="B14" s="12">
        <v>560</v>
      </c>
      <c r="C14" s="12">
        <v>560</v>
      </c>
      <c r="D14" s="12">
        <v>560</v>
      </c>
      <c r="E14" s="12">
        <v>560</v>
      </c>
      <c r="F14" s="12">
        <v>560</v>
      </c>
      <c r="G14" s="12">
        <v>560</v>
      </c>
      <c r="H14" s="12">
        <v>560</v>
      </c>
      <c r="I14" s="12">
        <v>560</v>
      </c>
      <c r="J14" s="12">
        <v>560</v>
      </c>
      <c r="K14" s="12">
        <v>560</v>
      </c>
      <c r="L14" s="12">
        <v>560</v>
      </c>
      <c r="M14" s="12">
        <v>560</v>
      </c>
      <c r="N14" s="26">
        <f t="shared" si="1"/>
        <v>6720</v>
      </c>
    </row>
    <row r="15" spans="1:14" x14ac:dyDescent="0.5">
      <c r="A15" s="7" t="s">
        <v>9</v>
      </c>
      <c r="B15" s="12">
        <v>33080</v>
      </c>
      <c r="C15" s="12">
        <v>33080</v>
      </c>
      <c r="D15" s="12">
        <v>33080</v>
      </c>
      <c r="E15" s="12">
        <v>33080</v>
      </c>
      <c r="F15" s="12">
        <v>33080</v>
      </c>
      <c r="G15" s="12">
        <v>33080</v>
      </c>
      <c r="H15" s="12">
        <v>33080</v>
      </c>
      <c r="I15" s="12">
        <v>33080</v>
      </c>
      <c r="J15" s="12">
        <v>33080</v>
      </c>
      <c r="K15" s="12">
        <v>33080</v>
      </c>
      <c r="L15" s="12">
        <v>33080</v>
      </c>
      <c r="M15" s="12">
        <v>33080</v>
      </c>
      <c r="N15" s="26">
        <f t="shared" si="1"/>
        <v>396960</v>
      </c>
    </row>
    <row r="16" spans="1:14" x14ac:dyDescent="0.5">
      <c r="A16" s="7" t="s">
        <v>10</v>
      </c>
      <c r="B16" s="12">
        <v>340</v>
      </c>
      <c r="C16" s="12">
        <v>340</v>
      </c>
      <c r="D16" s="12">
        <v>340</v>
      </c>
      <c r="E16" s="12">
        <v>340</v>
      </c>
      <c r="F16" s="12">
        <v>340</v>
      </c>
      <c r="G16" s="12">
        <v>340</v>
      </c>
      <c r="H16" s="12">
        <v>340</v>
      </c>
      <c r="I16" s="12">
        <v>340</v>
      </c>
      <c r="J16" s="12">
        <v>340</v>
      </c>
      <c r="K16" s="12">
        <v>340</v>
      </c>
      <c r="L16" s="12">
        <v>340</v>
      </c>
      <c r="M16" s="12">
        <v>340</v>
      </c>
      <c r="N16" s="26">
        <f t="shared" si="1"/>
        <v>4080</v>
      </c>
    </row>
    <row r="17" spans="1:14" x14ac:dyDescent="0.5">
      <c r="A17" s="7" t="s">
        <v>11</v>
      </c>
      <c r="B17" s="12">
        <v>5520</v>
      </c>
      <c r="C17" s="12">
        <v>5520</v>
      </c>
      <c r="D17" s="12">
        <v>5520</v>
      </c>
      <c r="E17" s="12">
        <v>5520</v>
      </c>
      <c r="F17" s="12">
        <v>5520</v>
      </c>
      <c r="G17" s="12">
        <v>5520</v>
      </c>
      <c r="H17" s="12">
        <v>5520</v>
      </c>
      <c r="I17" s="12">
        <v>5520</v>
      </c>
      <c r="J17" s="12">
        <v>5520</v>
      </c>
      <c r="K17" s="12">
        <v>5520</v>
      </c>
      <c r="L17" s="12">
        <v>5520</v>
      </c>
      <c r="M17" s="12">
        <v>5520</v>
      </c>
      <c r="N17" s="26">
        <f t="shared" si="1"/>
        <v>66240</v>
      </c>
    </row>
    <row r="18" spans="1:14" x14ac:dyDescent="0.5">
      <c r="A18" s="7" t="s">
        <v>12</v>
      </c>
      <c r="B18" s="24">
        <v>1110</v>
      </c>
      <c r="C18" s="24">
        <v>1110</v>
      </c>
      <c r="D18" s="24">
        <v>1110</v>
      </c>
      <c r="E18" s="24">
        <v>1110</v>
      </c>
      <c r="F18" s="24">
        <v>1110</v>
      </c>
      <c r="G18" s="24">
        <v>1110</v>
      </c>
      <c r="H18" s="24">
        <v>1110</v>
      </c>
      <c r="I18" s="24">
        <v>1110</v>
      </c>
      <c r="J18" s="24">
        <v>1110</v>
      </c>
      <c r="K18" s="24">
        <v>1110</v>
      </c>
      <c r="L18" s="24">
        <v>1110</v>
      </c>
      <c r="M18" s="24">
        <v>1110</v>
      </c>
      <c r="N18" s="27">
        <f t="shared" si="1"/>
        <v>13320</v>
      </c>
    </row>
    <row r="19" spans="1:14" x14ac:dyDescent="0.5">
      <c r="A19" s="13" t="s">
        <v>13</v>
      </c>
      <c r="B19" s="10">
        <f>SUM(B12:B18)</f>
        <v>51640</v>
      </c>
      <c r="C19" s="10">
        <f t="shared" ref="C19:M19" si="2">SUM(C12:C18)</f>
        <v>51640</v>
      </c>
      <c r="D19" s="10">
        <f t="shared" si="2"/>
        <v>51640</v>
      </c>
      <c r="E19" s="10">
        <f t="shared" si="2"/>
        <v>51640</v>
      </c>
      <c r="F19" s="10">
        <f t="shared" si="2"/>
        <v>51640</v>
      </c>
      <c r="G19" s="10">
        <f t="shared" si="2"/>
        <v>51640</v>
      </c>
      <c r="H19" s="10">
        <f t="shared" si="2"/>
        <v>51640</v>
      </c>
      <c r="I19" s="10">
        <f t="shared" si="2"/>
        <v>51640</v>
      </c>
      <c r="J19" s="10">
        <f t="shared" si="2"/>
        <v>51640</v>
      </c>
      <c r="K19" s="10">
        <f t="shared" si="2"/>
        <v>51640</v>
      </c>
      <c r="L19" s="10">
        <f t="shared" si="2"/>
        <v>51640</v>
      </c>
      <c r="M19" s="10">
        <f t="shared" si="2"/>
        <v>51640</v>
      </c>
      <c r="N19" s="32">
        <f>SUM(B19:M19)</f>
        <v>619680</v>
      </c>
    </row>
    <row r="20" spans="1:14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1"/>
    </row>
    <row r="21" spans="1:14" x14ac:dyDescent="0.5">
      <c r="A21" s="9" t="s">
        <v>15</v>
      </c>
      <c r="B21" s="16">
        <f>B10-B19</f>
        <v>3480</v>
      </c>
      <c r="C21" s="16">
        <f t="shared" ref="C21:N21" si="3">C10-C19</f>
        <v>3480</v>
      </c>
      <c r="D21" s="16">
        <f t="shared" si="3"/>
        <v>3480</v>
      </c>
      <c r="E21" s="16">
        <f t="shared" si="3"/>
        <v>3480</v>
      </c>
      <c r="F21" s="16">
        <f t="shared" si="3"/>
        <v>3480</v>
      </c>
      <c r="G21" s="16">
        <f t="shared" si="3"/>
        <v>47590</v>
      </c>
      <c r="H21" s="16">
        <f t="shared" si="3"/>
        <v>47590</v>
      </c>
      <c r="I21" s="16">
        <f t="shared" si="3"/>
        <v>47590</v>
      </c>
      <c r="J21" s="16">
        <f t="shared" si="3"/>
        <v>3480</v>
      </c>
      <c r="K21" s="16">
        <f t="shared" si="3"/>
        <v>3480</v>
      </c>
      <c r="L21" s="16">
        <f t="shared" si="3"/>
        <v>3480</v>
      </c>
      <c r="M21" s="16">
        <f t="shared" si="3"/>
        <v>3480</v>
      </c>
      <c r="N21" s="33">
        <f t="shared" si="3"/>
        <v>174090</v>
      </c>
    </row>
    <row r="22" spans="1:14" x14ac:dyDescent="0.5">
      <c r="A22" s="17" t="s">
        <v>16</v>
      </c>
      <c r="B22" s="18">
        <f>0.21*B21</f>
        <v>730.8</v>
      </c>
      <c r="C22" s="18">
        <f t="shared" ref="C22:M22" si="4">0.21*C21</f>
        <v>730.8</v>
      </c>
      <c r="D22" s="18">
        <f t="shared" si="4"/>
        <v>730.8</v>
      </c>
      <c r="E22" s="18">
        <f t="shared" si="4"/>
        <v>730.8</v>
      </c>
      <c r="F22" s="18">
        <f t="shared" si="4"/>
        <v>730.8</v>
      </c>
      <c r="G22" s="18">
        <f t="shared" si="4"/>
        <v>9993.9</v>
      </c>
      <c r="H22" s="18">
        <f t="shared" si="4"/>
        <v>9993.9</v>
      </c>
      <c r="I22" s="18">
        <f t="shared" si="4"/>
        <v>9993.9</v>
      </c>
      <c r="J22" s="18">
        <f t="shared" si="4"/>
        <v>730.8</v>
      </c>
      <c r="K22" s="18">
        <f t="shared" si="4"/>
        <v>730.8</v>
      </c>
      <c r="L22" s="18">
        <f t="shared" si="4"/>
        <v>730.8</v>
      </c>
      <c r="M22" s="18">
        <f t="shared" si="4"/>
        <v>730.8</v>
      </c>
      <c r="N22" s="28">
        <f>SUM(B22:M22)</f>
        <v>36558.900000000009</v>
      </c>
    </row>
    <row r="23" spans="1:14" ht="16.149999999999999" thickBot="1" x14ac:dyDescent="0.55000000000000004">
      <c r="A23" s="19" t="s">
        <v>17</v>
      </c>
      <c r="B23" s="20">
        <f>B21-B22</f>
        <v>2749.2</v>
      </c>
      <c r="C23" s="20">
        <f t="shared" ref="C23:M23" si="5">C21-C22</f>
        <v>2749.2</v>
      </c>
      <c r="D23" s="20">
        <f t="shared" si="5"/>
        <v>2749.2</v>
      </c>
      <c r="E23" s="20">
        <f t="shared" si="5"/>
        <v>2749.2</v>
      </c>
      <c r="F23" s="20">
        <f t="shared" si="5"/>
        <v>2749.2</v>
      </c>
      <c r="G23" s="20">
        <f t="shared" si="5"/>
        <v>37596.1</v>
      </c>
      <c r="H23" s="20">
        <f t="shared" si="5"/>
        <v>37596.1</v>
      </c>
      <c r="I23" s="20">
        <f t="shared" si="5"/>
        <v>37596.1</v>
      </c>
      <c r="J23" s="20">
        <f t="shared" si="5"/>
        <v>2749.2</v>
      </c>
      <c r="K23" s="20">
        <f t="shared" si="5"/>
        <v>2749.2</v>
      </c>
      <c r="L23" s="20">
        <f t="shared" si="5"/>
        <v>2749.2</v>
      </c>
      <c r="M23" s="20">
        <f t="shared" si="5"/>
        <v>2749.2</v>
      </c>
      <c r="N23" s="34">
        <f>N21-N22</f>
        <v>137531.09999999998</v>
      </c>
    </row>
    <row r="24" spans="1:14" ht="16.149999999999999" thickTop="1" x14ac:dyDescent="0.5"/>
    <row r="30" spans="1:14" x14ac:dyDescent="0.5">
      <c r="K30" s="23"/>
    </row>
    <row r="31" spans="1:14" x14ac:dyDescent="0.5">
      <c r="K31" s="23"/>
    </row>
    <row r="32" spans="1:14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8405-BFA3-3148-B11C-F72AF884C56F}">
  <dimension ref="A2:A10"/>
  <sheetViews>
    <sheetView workbookViewId="0">
      <selection activeCell="A7" sqref="A7:XFD7"/>
    </sheetView>
  </sheetViews>
  <sheetFormatPr defaultColWidth="11" defaultRowHeight="15.75" x14ac:dyDescent="0.5"/>
  <cols>
    <col min="1" max="1" width="53" customWidth="1"/>
  </cols>
  <sheetData>
    <row r="2" spans="1:1" ht="54" x14ac:dyDescent="0.5">
      <c r="A2" s="35" t="s">
        <v>31</v>
      </c>
    </row>
    <row r="4" spans="1:1" x14ac:dyDescent="0.5">
      <c r="A4" s="36" t="s">
        <v>32</v>
      </c>
    </row>
    <row r="5" spans="1:1" x14ac:dyDescent="0.5">
      <c r="A5" s="36" t="s">
        <v>33</v>
      </c>
    </row>
    <row r="6" spans="1:1" x14ac:dyDescent="0.5">
      <c r="A6" t="s">
        <v>36</v>
      </c>
    </row>
    <row r="7" spans="1:1" x14ac:dyDescent="0.5">
      <c r="A7" s="36" t="s">
        <v>34</v>
      </c>
    </row>
    <row r="8" spans="1:1" x14ac:dyDescent="0.5">
      <c r="A8" s="36" t="s">
        <v>35</v>
      </c>
    </row>
    <row r="10" spans="1:1" x14ac:dyDescent="0.5">
      <c r="A10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About this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Helen Wall</cp:lastModifiedBy>
  <dcterms:created xsi:type="dcterms:W3CDTF">2019-11-19T01:11:28Z</dcterms:created>
  <dcterms:modified xsi:type="dcterms:W3CDTF">2025-02-04T02:43:22Z</dcterms:modified>
</cp:coreProperties>
</file>