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eabd122808460/Documents/LinkedIn/LinkedIn Learning/Power BI for Finance/Data/Excel files/2022 and earlier/"/>
    </mc:Choice>
  </mc:AlternateContent>
  <xr:revisionPtr revIDLastSave="5" documentId="8_{CE0E1274-4D8B-4B57-BA39-2AB3CDB7D99F}" xr6:coauthVersionLast="47" xr6:coauthVersionMax="47" xr10:uidLastSave="{BFE4AC28-ACA5-4973-8486-864EFB4CCC60}"/>
  <bookViews>
    <workbookView xWindow="-98" yWindow="-98" windowWidth="22695" windowHeight="14476" xr2:uid="{0B12A38B-9726-934C-8C38-828523B4CBF7}"/>
  </bookViews>
  <sheets>
    <sheet name="2022" sheetId="5" r:id="rId1"/>
    <sheet name="About this docu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2" i="5" l="1"/>
  <c r="L22" i="5"/>
  <c r="K22" i="5"/>
  <c r="J22" i="5"/>
  <c r="I22" i="5"/>
  <c r="H22" i="5"/>
  <c r="G22" i="5"/>
  <c r="F22" i="5"/>
  <c r="E22" i="5"/>
  <c r="D22" i="5"/>
  <c r="C22" i="5"/>
  <c r="B22" i="5"/>
  <c r="N8" i="5"/>
  <c r="N9" i="5"/>
  <c r="N22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N17" i="5"/>
  <c r="N16" i="5"/>
  <c r="N15" i="5"/>
  <c r="N14" i="5"/>
  <c r="N13" i="5"/>
  <c r="N12" i="5"/>
  <c r="M10" i="5"/>
  <c r="M21" i="5" s="1"/>
  <c r="M23" i="5" s="1"/>
  <c r="L10" i="5"/>
  <c r="L21" i="5" s="1"/>
  <c r="L23" i="5" s="1"/>
  <c r="K10" i="5"/>
  <c r="J10" i="5"/>
  <c r="J21" i="5" s="1"/>
  <c r="J23" i="5" s="1"/>
  <c r="I10" i="5"/>
  <c r="I21" i="5" s="1"/>
  <c r="I23" i="5" s="1"/>
  <c r="H10" i="5"/>
  <c r="H21" i="5" s="1"/>
  <c r="H23" i="5" s="1"/>
  <c r="G10" i="5"/>
  <c r="F10" i="5"/>
  <c r="E10" i="5"/>
  <c r="D10" i="5"/>
  <c r="C10" i="5"/>
  <c r="B10" i="5"/>
  <c r="K21" i="5" l="1"/>
  <c r="K23" i="5" s="1"/>
  <c r="G21" i="5"/>
  <c r="G23" i="5" s="1"/>
  <c r="F21" i="5"/>
  <c r="F23" i="5" s="1"/>
  <c r="E21" i="5"/>
  <c r="E23" i="5" s="1"/>
  <c r="D21" i="5"/>
  <c r="D23" i="5" s="1"/>
  <c r="C21" i="5"/>
  <c r="C23" i="5" s="1"/>
  <c r="N19" i="5"/>
  <c r="N10" i="5"/>
  <c r="B21" i="5"/>
  <c r="B23" i="5" s="1"/>
  <c r="N21" i="5" l="1"/>
  <c r="N23" i="5" s="1"/>
</calcChain>
</file>

<file path=xl/sharedStrings.xml><?xml version="1.0" encoding="utf-8"?>
<sst xmlns="http://schemas.openxmlformats.org/spreadsheetml/2006/main" count="39" uniqueCount="39">
  <si>
    <t>(US dollar, in thousands)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</si>
  <si>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</si>
  <si>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</si>
  <si>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</si>
  <si>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</si>
  <si>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</si>
  <si>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</si>
  <si>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</si>
  <si>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</si>
  <si>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</si>
  <si>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</si>
  <si>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</si>
  <si>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</si>
  <si>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 xml:space="preserve">Total Operating Expenses </t>
  </si>
  <si>
    <t>Operating Income (EBIT)</t>
  </si>
  <si>
    <t>Income Before Taxes</t>
  </si>
  <si>
    <t>Taxes</t>
  </si>
  <si>
    <t xml:space="preserve">Net Income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</si>
  <si>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</si>
  <si>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</si>
  <si>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</si>
  <si>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</si>
  <si>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</si>
  <si>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</si>
  <si>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</si>
  <si>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</si>
  <si>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</si>
  <si>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</si>
  <si>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</si>
  <si>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</si>
  <si>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January</t>
  </si>
  <si>
    <t>Note: this worksheet is part of a series of worksheets with correlating financial data for Red30 Tech. The other worksheets available in the series are:</t>
  </si>
  <si>
    <t>Red30 Tech Marketing Expenses.xlsx</t>
  </si>
  <si>
    <t>Red30 Tech Labor Expenses.xlsx</t>
  </si>
  <si>
    <t>Red30 Tech Balance Sheet.xlsx</t>
  </si>
  <si>
    <t>Red30 Tech Financial Statement.xlsx</t>
  </si>
  <si>
    <t xml:space="preserve">Red30 Tech Overhead Costs.xlsx </t>
  </si>
  <si>
    <t>Red30 Tech Actuals</t>
  </si>
  <si>
    <t>Monthly Numbers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</si>
</sst>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11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2" fontId="7" fillId="0" borderId="0" xfId="0" applyNumberFormat="1" applyFont="1"/>
    <xf numFmtId="0" fontId="2" fillId="3" borderId="3" xfId="0" applyFont="1" applyFill="1" applyBorder="1" applyAlignment="1">
      <alignment horizontal="left"/>
    </xf>
    <xf numFmtId="42" fontId="3" fillId="0" borderId="0" xfId="0" applyNumberFormat="1" applyFont="1"/>
    <xf numFmtId="0" fontId="6" fillId="0" borderId="2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42" fontId="7" fillId="0" borderId="5" xfId="0" applyNumberFormat="1" applyFont="1" applyBorder="1"/>
    <xf numFmtId="0" fontId="3" fillId="0" borderId="1" xfId="0" applyFont="1" applyBorder="1" applyAlignment="1">
      <alignment horizontal="left"/>
    </xf>
    <xf numFmtId="42" fontId="3" fillId="0" borderId="2" xfId="0" applyNumberFormat="1" applyFont="1" applyBorder="1"/>
    <xf numFmtId="0" fontId="6" fillId="0" borderId="6" xfId="0" applyFont="1" applyBorder="1" applyAlignment="1">
      <alignment horizontal="left"/>
    </xf>
    <xf numFmtId="42" fontId="7" fillId="0" borderId="6" xfId="0" applyNumberFormat="1" applyFont="1" applyBorder="1"/>
    <xf numFmtId="44" fontId="0" fillId="0" borderId="0" xfId="0" applyNumberFormat="1"/>
    <xf numFmtId="0" fontId="1" fillId="2" borderId="0" xfId="0" applyFont="1" applyFill="1" applyAlignment="1">
      <alignment horizontal="left"/>
    </xf>
    <xf numFmtId="165" fontId="0" fillId="0" borderId="0" xfId="1" applyNumberFormat="1" applyFont="1"/>
    <xf numFmtId="42" fontId="3" fillId="0" borderId="5" xfId="0" applyNumberFormat="1" applyFont="1" applyBorder="1"/>
    <xf numFmtId="164" fontId="3" fillId="0" borderId="0" xfId="0" applyNumberFormat="1" applyFont="1"/>
    <xf numFmtId="164" fontId="3" fillId="0" borderId="5" xfId="0" applyNumberFormat="1" applyFont="1" applyBorder="1"/>
    <xf numFmtId="0" fontId="1" fillId="2" borderId="8" xfId="0" applyFont="1" applyFill="1" applyBorder="1" applyAlignment="1">
      <alignment horizontal="left"/>
    </xf>
    <xf numFmtId="42" fontId="3" fillId="4" borderId="9" xfId="0" applyNumberFormat="1" applyFont="1" applyFill="1" applyBorder="1"/>
    <xf numFmtId="42" fontId="3" fillId="4" borderId="10" xfId="0" applyNumberFormat="1" applyFont="1" applyFill="1" applyBorder="1"/>
    <xf numFmtId="42" fontId="3" fillId="4" borderId="7" xfId="0" applyNumberFormat="1" applyFont="1" applyFill="1" applyBorder="1"/>
    <xf numFmtId="0" fontId="2" fillId="5" borderId="9" xfId="0" applyFont="1" applyFill="1" applyBorder="1" applyAlignment="1">
      <alignment horizontal="left"/>
    </xf>
    <xf numFmtId="0" fontId="5" fillId="5" borderId="9" xfId="0" applyFont="1" applyFill="1" applyBorder="1"/>
    <xf numFmtId="0" fontId="3" fillId="5" borderId="9" xfId="0" applyFont="1" applyFill="1" applyBorder="1"/>
    <xf numFmtId="42" fontId="9" fillId="4" borderId="9" xfId="0" applyNumberFormat="1" applyFont="1" applyFill="1" applyBorder="1"/>
    <xf numFmtId="42" fontId="9" fillId="4" borderId="10" xfId="0" applyNumberFormat="1" applyFont="1" applyFill="1" applyBorder="1"/>
    <xf numFmtId="42" fontId="9" fillId="4" borderId="11" xfId="0" applyNumberFormat="1" applyFont="1" applyFill="1" applyBorder="1"/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41D52-9915-40E6-9D0C-11FA456D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0A2-4852-4599-A4F9-D0353565A689}">
  <dimension ref="A1:AB45"/>
  <sheetViews>
    <sheetView showGridLines="0" tabSelected="1" workbookViewId="0">
      <selection activeCell="C14" sqref="C14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28" ht="23.25" x14ac:dyDescent="0.7">
      <c r="A1" s="1"/>
      <c r="B1" s="2"/>
      <c r="C1" s="3"/>
      <c r="D1" s="3"/>
      <c r="E1" s="3"/>
      <c r="F1" s="3"/>
    </row>
    <row r="2" spans="1:28" x14ac:dyDescent="0.5">
      <c r="A2" s="1"/>
      <c r="B2" s="4" t="s">
        <v>37</v>
      </c>
      <c r="C2" s="4"/>
      <c r="D2" s="3"/>
      <c r="E2" s="3"/>
      <c r="F2" s="3"/>
    </row>
    <row r="3" spans="1:28" x14ac:dyDescent="0.5">
      <c r="A3" s="1"/>
      <c r="B3" s="4" t="s">
        <v>38</v>
      </c>
      <c r="C3" s="4"/>
      <c r="D3" s="3"/>
      <c r="E3" s="3"/>
      <c r="F3" s="3"/>
    </row>
    <row r="4" spans="1:28" x14ac:dyDescent="0.5">
      <c r="A4" s="1"/>
      <c r="B4" s="3" t="s">
        <v>0</v>
      </c>
      <c r="C4" s="4"/>
      <c r="D4" s="3"/>
      <c r="E4" s="3"/>
      <c r="F4" s="3"/>
    </row>
    <row r="5" spans="1:28" ht="23.25" x14ac:dyDescent="0.7">
      <c r="A5" s="2"/>
      <c r="B5" s="3"/>
      <c r="C5" s="2"/>
      <c r="D5" s="2"/>
      <c r="E5" s="2"/>
      <c r="F5" s="2"/>
    </row>
    <row r="6" spans="1:28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28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28" x14ac:dyDescent="0.5">
      <c r="A8" s="7" t="s">
        <v>2</v>
      </c>
      <c r="B8" s="25">
        <v>83741</v>
      </c>
      <c r="C8" s="12">
        <v>83108</v>
      </c>
      <c r="D8" s="12">
        <v>78461</v>
      </c>
      <c r="E8" s="12">
        <v>84993</v>
      </c>
      <c r="F8" s="12">
        <v>78758</v>
      </c>
      <c r="G8" s="12">
        <v>178107</v>
      </c>
      <c r="H8" s="12">
        <v>180206</v>
      </c>
      <c r="I8" s="12">
        <v>125557</v>
      </c>
      <c r="J8" s="12">
        <v>86974</v>
      </c>
      <c r="K8" s="12">
        <v>80116</v>
      </c>
      <c r="L8" s="12">
        <v>80580</v>
      </c>
      <c r="M8" s="12">
        <v>79902</v>
      </c>
      <c r="N8" s="28">
        <f>SUM(B8:M8)</f>
        <v>1220503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x14ac:dyDescent="0.5">
      <c r="A9" s="8" t="s">
        <v>3</v>
      </c>
      <c r="B9" s="26">
        <v>29568</v>
      </c>
      <c r="C9" s="24">
        <v>31442</v>
      </c>
      <c r="D9" s="24">
        <v>29623</v>
      </c>
      <c r="E9" s="24">
        <v>28685</v>
      </c>
      <c r="F9" s="24">
        <v>28825</v>
      </c>
      <c r="G9" s="24">
        <v>59961</v>
      </c>
      <c r="H9" s="24">
        <v>61528</v>
      </c>
      <c r="I9" s="24">
        <v>41711</v>
      </c>
      <c r="J9" s="24">
        <v>31396</v>
      </c>
      <c r="K9" s="24">
        <v>29381</v>
      </c>
      <c r="L9" s="24">
        <v>29302</v>
      </c>
      <c r="M9" s="24">
        <v>30304</v>
      </c>
      <c r="N9" s="29">
        <f>SUM(B9:M9)</f>
        <v>431726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x14ac:dyDescent="0.5">
      <c r="A10" s="9" t="s">
        <v>4</v>
      </c>
      <c r="B10" s="10">
        <f>B8-B9</f>
        <v>54173</v>
      </c>
      <c r="C10" s="10">
        <f t="shared" ref="C10:M10" si="0">C8-C9</f>
        <v>51666</v>
      </c>
      <c r="D10" s="10">
        <f t="shared" si="0"/>
        <v>48838</v>
      </c>
      <c r="E10" s="10">
        <f t="shared" si="0"/>
        <v>56308</v>
      </c>
      <c r="F10" s="10">
        <f t="shared" si="0"/>
        <v>49933</v>
      </c>
      <c r="G10" s="10">
        <f t="shared" si="0"/>
        <v>118146</v>
      </c>
      <c r="H10" s="10">
        <f t="shared" si="0"/>
        <v>118678</v>
      </c>
      <c r="I10" s="10">
        <f t="shared" si="0"/>
        <v>83846</v>
      </c>
      <c r="J10" s="10">
        <f t="shared" si="0"/>
        <v>55578</v>
      </c>
      <c r="K10" s="10">
        <f t="shared" si="0"/>
        <v>50735</v>
      </c>
      <c r="L10" s="10">
        <f t="shared" si="0"/>
        <v>51278</v>
      </c>
      <c r="M10" s="10">
        <f t="shared" si="0"/>
        <v>49598</v>
      </c>
      <c r="N10" s="34">
        <f>SUM(B10:M10)</f>
        <v>788777</v>
      </c>
    </row>
    <row r="11" spans="1:28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28" x14ac:dyDescent="0.5">
      <c r="A12" s="7" t="s">
        <v>6</v>
      </c>
      <c r="B12" s="12">
        <v>5566</v>
      </c>
      <c r="C12" s="12">
        <v>5604</v>
      </c>
      <c r="D12" s="12">
        <v>6028</v>
      </c>
      <c r="E12" s="12">
        <v>5860</v>
      </c>
      <c r="F12" s="12">
        <v>5538</v>
      </c>
      <c r="G12" s="12">
        <v>5861</v>
      </c>
      <c r="H12" s="12">
        <v>5827</v>
      </c>
      <c r="I12" s="12">
        <v>5796</v>
      </c>
      <c r="J12" s="12">
        <v>5740</v>
      </c>
      <c r="K12" s="12">
        <v>5949</v>
      </c>
      <c r="L12" s="12">
        <v>6273</v>
      </c>
      <c r="M12" s="12">
        <v>5848</v>
      </c>
      <c r="N12" s="28">
        <f>SUM(B12:M12)</f>
        <v>69890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 spans="1:28" x14ac:dyDescent="0.5">
      <c r="A13" s="7" t="s">
        <v>7</v>
      </c>
      <c r="B13" s="12">
        <v>4133</v>
      </c>
      <c r="C13" s="12">
        <v>4132</v>
      </c>
      <c r="D13" s="12">
        <v>4148</v>
      </c>
      <c r="E13" s="12">
        <v>4181</v>
      </c>
      <c r="F13" s="12">
        <v>4121</v>
      </c>
      <c r="G13" s="12">
        <v>4150</v>
      </c>
      <c r="H13" s="12">
        <v>3880</v>
      </c>
      <c r="I13" s="12">
        <v>3851</v>
      </c>
      <c r="J13" s="12">
        <v>4073</v>
      </c>
      <c r="K13" s="12">
        <v>3848</v>
      </c>
      <c r="L13" s="12">
        <v>4136</v>
      </c>
      <c r="M13" s="12">
        <v>4016</v>
      </c>
      <c r="N13" s="28">
        <f t="shared" ref="N13:N18" si="1">SUM(B13:M13)</f>
        <v>48669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x14ac:dyDescent="0.5">
      <c r="A14" s="7" t="s">
        <v>8</v>
      </c>
      <c r="B14" s="12">
        <v>580</v>
      </c>
      <c r="C14" s="12">
        <v>616</v>
      </c>
      <c r="D14" s="12">
        <v>575</v>
      </c>
      <c r="E14" s="12">
        <v>634</v>
      </c>
      <c r="F14" s="12">
        <v>629</v>
      </c>
      <c r="G14" s="12">
        <v>578</v>
      </c>
      <c r="H14" s="12">
        <v>574</v>
      </c>
      <c r="I14" s="12">
        <v>601</v>
      </c>
      <c r="J14" s="12">
        <v>597</v>
      </c>
      <c r="K14" s="12">
        <v>605</v>
      </c>
      <c r="L14" s="12">
        <v>567</v>
      </c>
      <c r="M14" s="12">
        <v>559</v>
      </c>
      <c r="N14" s="28">
        <f t="shared" si="1"/>
        <v>7115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x14ac:dyDescent="0.5">
      <c r="A15" s="7" t="s">
        <v>9</v>
      </c>
      <c r="B15" s="12">
        <v>28970</v>
      </c>
      <c r="C15" s="12">
        <v>29454</v>
      </c>
      <c r="D15" s="12">
        <v>30632</v>
      </c>
      <c r="E15" s="12">
        <v>31244</v>
      </c>
      <c r="F15" s="12">
        <v>29746</v>
      </c>
      <c r="G15" s="12">
        <v>29918</v>
      </c>
      <c r="H15" s="12">
        <v>30974</v>
      </c>
      <c r="I15" s="12">
        <v>31085</v>
      </c>
      <c r="J15" s="12">
        <v>30027</v>
      </c>
      <c r="K15" s="12">
        <v>30643</v>
      </c>
      <c r="L15" s="12">
        <v>31072</v>
      </c>
      <c r="M15" s="12">
        <v>30266</v>
      </c>
      <c r="N15" s="28">
        <f t="shared" si="1"/>
        <v>364031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x14ac:dyDescent="0.5">
      <c r="A16" s="7" t="s">
        <v>10</v>
      </c>
      <c r="B16" s="12">
        <v>338</v>
      </c>
      <c r="C16" s="12">
        <v>328</v>
      </c>
      <c r="D16" s="12">
        <v>325</v>
      </c>
      <c r="E16" s="12">
        <v>325</v>
      </c>
      <c r="F16" s="12">
        <v>315</v>
      </c>
      <c r="G16" s="12">
        <v>323</v>
      </c>
      <c r="H16" s="12">
        <v>317</v>
      </c>
      <c r="I16" s="12">
        <v>301</v>
      </c>
      <c r="J16" s="12">
        <v>312</v>
      </c>
      <c r="K16" s="12">
        <v>324</v>
      </c>
      <c r="L16" s="12">
        <v>299</v>
      </c>
      <c r="M16" s="12">
        <v>317</v>
      </c>
      <c r="N16" s="28">
        <f t="shared" si="1"/>
        <v>3824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x14ac:dyDescent="0.5">
      <c r="A17" s="7" t="s">
        <v>11</v>
      </c>
      <c r="B17" s="12">
        <v>5073</v>
      </c>
      <c r="C17" s="12">
        <v>4774</v>
      </c>
      <c r="D17" s="12">
        <v>4880</v>
      </c>
      <c r="E17" s="12">
        <v>5050</v>
      </c>
      <c r="F17" s="12">
        <v>5225</v>
      </c>
      <c r="G17" s="12">
        <v>4970</v>
      </c>
      <c r="H17" s="12">
        <v>5099</v>
      </c>
      <c r="I17" s="12">
        <v>4783</v>
      </c>
      <c r="J17" s="12">
        <v>4881</v>
      </c>
      <c r="K17" s="12">
        <v>5283</v>
      </c>
      <c r="L17" s="12">
        <v>4980</v>
      </c>
      <c r="M17" s="12">
        <v>5277</v>
      </c>
      <c r="N17" s="28">
        <f t="shared" si="1"/>
        <v>60275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x14ac:dyDescent="0.5">
      <c r="A18" s="7" t="s">
        <v>12</v>
      </c>
      <c r="B18" s="24">
        <v>986</v>
      </c>
      <c r="C18" s="24">
        <v>950</v>
      </c>
      <c r="D18" s="24">
        <v>954</v>
      </c>
      <c r="E18" s="24">
        <v>963</v>
      </c>
      <c r="F18" s="24">
        <v>982</v>
      </c>
      <c r="G18" s="24">
        <v>992</v>
      </c>
      <c r="H18" s="24">
        <v>934</v>
      </c>
      <c r="I18" s="24">
        <v>943</v>
      </c>
      <c r="J18" s="24">
        <v>944</v>
      </c>
      <c r="K18" s="24">
        <v>995</v>
      </c>
      <c r="L18" s="24">
        <v>1020</v>
      </c>
      <c r="M18" s="24">
        <v>961</v>
      </c>
      <c r="N18" s="29">
        <f t="shared" si="1"/>
        <v>11624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x14ac:dyDescent="0.5">
      <c r="A19" s="13" t="s">
        <v>13</v>
      </c>
      <c r="B19" s="10">
        <f>SUM(B12:B18)</f>
        <v>45646</v>
      </c>
      <c r="C19" s="10">
        <f t="shared" ref="C19:M19" si="2">SUM(C12:C18)</f>
        <v>45858</v>
      </c>
      <c r="D19" s="10">
        <f t="shared" si="2"/>
        <v>47542</v>
      </c>
      <c r="E19" s="10">
        <f t="shared" si="2"/>
        <v>48257</v>
      </c>
      <c r="F19" s="10">
        <f t="shared" si="2"/>
        <v>46556</v>
      </c>
      <c r="G19" s="10">
        <f t="shared" si="2"/>
        <v>46792</v>
      </c>
      <c r="H19" s="10">
        <f t="shared" si="2"/>
        <v>47605</v>
      </c>
      <c r="I19" s="10">
        <f t="shared" si="2"/>
        <v>47360</v>
      </c>
      <c r="J19" s="10">
        <f t="shared" si="2"/>
        <v>46574</v>
      </c>
      <c r="K19" s="10">
        <f t="shared" si="2"/>
        <v>47647</v>
      </c>
      <c r="L19" s="10">
        <f t="shared" si="2"/>
        <v>48347</v>
      </c>
      <c r="M19" s="10">
        <f t="shared" si="2"/>
        <v>47244</v>
      </c>
      <c r="N19" s="34">
        <f>SUM(B19:M19)</f>
        <v>565428</v>
      </c>
    </row>
    <row r="20" spans="1:28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28" x14ac:dyDescent="0.5">
      <c r="A21" s="9" t="s">
        <v>15</v>
      </c>
      <c r="B21" s="16">
        <f>B10-B19</f>
        <v>8527</v>
      </c>
      <c r="C21" s="16">
        <f t="shared" ref="C21:N21" si="3">C10-C19</f>
        <v>5808</v>
      </c>
      <c r="D21" s="16">
        <f t="shared" si="3"/>
        <v>1296</v>
      </c>
      <c r="E21" s="16">
        <f t="shared" si="3"/>
        <v>8051</v>
      </c>
      <c r="F21" s="16">
        <f t="shared" si="3"/>
        <v>3377</v>
      </c>
      <c r="G21" s="16">
        <f t="shared" si="3"/>
        <v>71354</v>
      </c>
      <c r="H21" s="16">
        <f t="shared" si="3"/>
        <v>71073</v>
      </c>
      <c r="I21" s="16">
        <f t="shared" si="3"/>
        <v>36486</v>
      </c>
      <c r="J21" s="16">
        <f t="shared" si="3"/>
        <v>9004</v>
      </c>
      <c r="K21" s="16">
        <f t="shared" si="3"/>
        <v>3088</v>
      </c>
      <c r="L21" s="16">
        <f t="shared" si="3"/>
        <v>2931</v>
      </c>
      <c r="M21" s="16">
        <f t="shared" si="3"/>
        <v>2354</v>
      </c>
      <c r="N21" s="35">
        <f t="shared" si="3"/>
        <v>223349</v>
      </c>
    </row>
    <row r="22" spans="1:28" x14ac:dyDescent="0.5">
      <c r="A22" s="17" t="s">
        <v>16</v>
      </c>
      <c r="B22" s="18">
        <f>0.21*B21</f>
        <v>1790.6699999999998</v>
      </c>
      <c r="C22" s="18">
        <f t="shared" ref="C22:M22" si="4">0.21*C21</f>
        <v>1219.68</v>
      </c>
      <c r="D22" s="18">
        <f t="shared" si="4"/>
        <v>272.15999999999997</v>
      </c>
      <c r="E22" s="18">
        <f t="shared" si="4"/>
        <v>1690.71</v>
      </c>
      <c r="F22" s="18">
        <f t="shared" si="4"/>
        <v>709.17</v>
      </c>
      <c r="G22" s="18">
        <f t="shared" si="4"/>
        <v>14984.34</v>
      </c>
      <c r="H22" s="18">
        <f t="shared" si="4"/>
        <v>14925.33</v>
      </c>
      <c r="I22" s="18">
        <f t="shared" si="4"/>
        <v>7662.0599999999995</v>
      </c>
      <c r="J22" s="18">
        <f t="shared" si="4"/>
        <v>1890.84</v>
      </c>
      <c r="K22" s="18">
        <f t="shared" si="4"/>
        <v>648.48</v>
      </c>
      <c r="L22" s="18">
        <f t="shared" si="4"/>
        <v>615.51</v>
      </c>
      <c r="M22" s="18">
        <f t="shared" si="4"/>
        <v>494.34</v>
      </c>
      <c r="N22" s="30">
        <f>SUM(B22:M22)</f>
        <v>46903.289999999994</v>
      </c>
    </row>
    <row r="23" spans="1:28" ht="16.149999999999999" thickBot="1" x14ac:dyDescent="0.55000000000000004">
      <c r="A23" s="19" t="s">
        <v>17</v>
      </c>
      <c r="B23" s="20">
        <f>B21-B22</f>
        <v>6736.33</v>
      </c>
      <c r="C23" s="20">
        <f t="shared" ref="C23:M23" si="5">C21-C22</f>
        <v>4588.32</v>
      </c>
      <c r="D23" s="20">
        <f t="shared" si="5"/>
        <v>1023.84</v>
      </c>
      <c r="E23" s="20">
        <f t="shared" si="5"/>
        <v>6360.29</v>
      </c>
      <c r="F23" s="20">
        <f t="shared" si="5"/>
        <v>2667.83</v>
      </c>
      <c r="G23" s="20">
        <f t="shared" si="5"/>
        <v>56369.66</v>
      </c>
      <c r="H23" s="20">
        <f t="shared" si="5"/>
        <v>56147.67</v>
      </c>
      <c r="I23" s="20">
        <f t="shared" si="5"/>
        <v>28823.940000000002</v>
      </c>
      <c r="J23" s="20">
        <f t="shared" si="5"/>
        <v>7113.16</v>
      </c>
      <c r="K23" s="20">
        <f t="shared" si="5"/>
        <v>2439.52</v>
      </c>
      <c r="L23" s="20">
        <f t="shared" si="5"/>
        <v>2315.4899999999998</v>
      </c>
      <c r="M23" s="20">
        <f t="shared" si="5"/>
        <v>1859.66</v>
      </c>
      <c r="N23" s="36">
        <f>N21-N22</f>
        <v>176445.71000000002</v>
      </c>
    </row>
    <row r="24" spans="1:28" ht="16.149999999999999" thickTop="1" x14ac:dyDescent="0.5"/>
    <row r="30" spans="1:28" x14ac:dyDescent="0.5">
      <c r="K30" s="23"/>
    </row>
    <row r="31" spans="1:28" x14ac:dyDescent="0.5">
      <c r="K31" s="23"/>
    </row>
    <row r="32" spans="1:28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8405-BFA3-3148-B11C-F72AF884C56F}">
  <dimension ref="A2:A10"/>
  <sheetViews>
    <sheetView workbookViewId="0">
      <selection activeCell="A21" sqref="A21"/>
    </sheetView>
  </sheetViews>
  <sheetFormatPr defaultColWidth="11" defaultRowHeight="15.75" x14ac:dyDescent="0.5"/>
  <cols>
    <col min="1" max="1" width="53" customWidth="1"/>
  </cols>
  <sheetData>
    <row r="2" spans="1:1" ht="54" x14ac:dyDescent="0.5">
      <c r="A2" s="37" t="s">
        <v>31</v>
      </c>
    </row>
    <row r="4" spans="1:1" x14ac:dyDescent="0.5">
      <c r="A4" s="38" t="s">
        <v>32</v>
      </c>
    </row>
    <row r="5" spans="1:1" x14ac:dyDescent="0.5">
      <c r="A5" s="38" t="s">
        <v>33</v>
      </c>
    </row>
    <row r="6" spans="1:1" x14ac:dyDescent="0.5">
      <c r="A6" t="s">
        <v>36</v>
      </c>
    </row>
    <row r="7" spans="1:1" x14ac:dyDescent="0.5">
      <c r="A7" s="38" t="s">
        <v>34</v>
      </c>
    </row>
    <row r="8" spans="1:1" x14ac:dyDescent="0.5">
      <c r="A8" s="38" t="s">
        <v>35</v>
      </c>
    </row>
    <row r="10" spans="1:1" x14ac:dyDescent="0.5">
      <c r="A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About this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Wall</cp:lastModifiedBy>
  <dcterms:created xsi:type="dcterms:W3CDTF">2019-11-19T01:11:28Z</dcterms:created>
  <dcterms:modified xsi:type="dcterms:W3CDTF">2025-02-03T04:59:18Z</dcterms:modified>
</cp:coreProperties>
</file>