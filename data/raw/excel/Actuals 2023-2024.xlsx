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eabd122808460/Documents/LinkedIn/LinkedIn Learning/Power BI for Finance/Data/Excel files/"/>
    </mc:Choice>
  </mc:AlternateContent>
  <xr:revisionPtr revIDLastSave="5" documentId="8_{CE0E1274-4D8B-4B57-BA39-2AB3CDB7D99F}" xr6:coauthVersionLast="47" xr6:coauthVersionMax="47" xr10:uidLastSave="{6D28070F-6F12-49EB-96DE-55B9BCDABFF8}"/>
  <bookViews>
    <workbookView xWindow="-98" yWindow="-98" windowWidth="22695" windowHeight="14476" activeTab="1" xr2:uid="{0B12A38B-9726-934C-8C38-828523B4CBF7}"/>
  </bookViews>
  <sheets>
    <sheet name="2023" sheetId="1" r:id="rId1"/>
    <sheet name="2024" sheetId="4" r:id="rId2"/>
    <sheet name="About this docu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4" l="1"/>
  <c r="D22" i="4"/>
  <c r="E22" i="4"/>
  <c r="F22" i="4"/>
  <c r="G22" i="4"/>
  <c r="H22" i="4"/>
  <c r="I22" i="4"/>
  <c r="J22" i="4"/>
  <c r="K22" i="4"/>
  <c r="L22" i="4"/>
  <c r="M22" i="4"/>
  <c r="B22" i="4"/>
  <c r="C22" i="1"/>
  <c r="D22" i="1"/>
  <c r="E22" i="1"/>
  <c r="F22" i="1"/>
  <c r="G22" i="1"/>
  <c r="H22" i="1"/>
  <c r="I22" i="1"/>
  <c r="J22" i="1"/>
  <c r="K22" i="1"/>
  <c r="L22" i="1"/>
  <c r="M22" i="1"/>
  <c r="B22" i="1"/>
  <c r="N8" i="4"/>
  <c r="N9" i="4"/>
  <c r="N22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N17" i="4"/>
  <c r="N16" i="4"/>
  <c r="N15" i="4"/>
  <c r="N14" i="4"/>
  <c r="N13" i="4"/>
  <c r="N12" i="4"/>
  <c r="M10" i="4"/>
  <c r="L10" i="4"/>
  <c r="L21" i="4" s="1"/>
  <c r="L23" i="4" s="1"/>
  <c r="K10" i="4"/>
  <c r="K21" i="4" s="1"/>
  <c r="K23" i="4" s="1"/>
  <c r="J10" i="4"/>
  <c r="I10" i="4"/>
  <c r="H10" i="4"/>
  <c r="G10" i="4"/>
  <c r="F10" i="4"/>
  <c r="E10" i="4"/>
  <c r="D10" i="4"/>
  <c r="C10" i="4"/>
  <c r="B10" i="4"/>
  <c r="C10" i="1"/>
  <c r="D10" i="1"/>
  <c r="E10" i="1"/>
  <c r="F10" i="1"/>
  <c r="G10" i="1"/>
  <c r="H10" i="1"/>
  <c r="I10" i="1"/>
  <c r="J10" i="1"/>
  <c r="K10" i="1"/>
  <c r="L10" i="1"/>
  <c r="M10" i="1"/>
  <c r="B10" i="1"/>
  <c r="C19" i="1"/>
  <c r="D19" i="1"/>
  <c r="E19" i="1"/>
  <c r="F19" i="1"/>
  <c r="G19" i="1"/>
  <c r="H19" i="1"/>
  <c r="I19" i="1"/>
  <c r="J19" i="1"/>
  <c r="K19" i="1"/>
  <c r="L19" i="1"/>
  <c r="M19" i="1"/>
  <c r="B19" i="1"/>
  <c r="N22" i="1"/>
  <c r="N13" i="1"/>
  <c r="N14" i="1"/>
  <c r="N15" i="1"/>
  <c r="N16" i="1"/>
  <c r="N17" i="1"/>
  <c r="N18" i="1"/>
  <c r="N12" i="1"/>
  <c r="N9" i="1"/>
  <c r="N8" i="1"/>
  <c r="M21" i="4" l="1"/>
  <c r="M23" i="4" s="1"/>
  <c r="J21" i="4"/>
  <c r="J23" i="4" s="1"/>
  <c r="I21" i="4"/>
  <c r="I23" i="4" s="1"/>
  <c r="H21" i="4"/>
  <c r="H23" i="4" s="1"/>
  <c r="G21" i="4"/>
  <c r="G23" i="4" s="1"/>
  <c r="F21" i="4"/>
  <c r="F23" i="4" s="1"/>
  <c r="E21" i="4"/>
  <c r="E23" i="4" s="1"/>
  <c r="D21" i="4"/>
  <c r="D23" i="4" s="1"/>
  <c r="C21" i="4"/>
  <c r="C23" i="4" s="1"/>
  <c r="N19" i="4"/>
  <c r="B21" i="4"/>
  <c r="B23" i="4" s="1"/>
  <c r="N10" i="4"/>
  <c r="C21" i="1"/>
  <c r="C23" i="1" s="1"/>
  <c r="D21" i="1"/>
  <c r="D23" i="1" s="1"/>
  <c r="G21" i="1"/>
  <c r="G23" i="1" s="1"/>
  <c r="F21" i="1"/>
  <c r="F23" i="1" s="1"/>
  <c r="E21" i="1"/>
  <c r="E23" i="1" s="1"/>
  <c r="L21" i="1"/>
  <c r="L23" i="1" s="1"/>
  <c r="N10" i="1"/>
  <c r="H21" i="1"/>
  <c r="H23" i="1" s="1"/>
  <c r="K21" i="1"/>
  <c r="K23" i="1" s="1"/>
  <c r="M21" i="1"/>
  <c r="M23" i="1" s="1"/>
  <c r="J21" i="1"/>
  <c r="J23" i="1" s="1"/>
  <c r="I21" i="1"/>
  <c r="I23" i="1" s="1"/>
  <c r="B21" i="1"/>
  <c r="B23" i="1" s="1"/>
  <c r="N19" i="1"/>
  <c r="N21" i="4" l="1"/>
  <c r="N23" i="4" s="1"/>
  <c r="N21" i="1"/>
  <c r="N23" i="1" s="1"/>
</calcChain>
</file>

<file path=xl/sharedStrings.xml><?xml version="1.0" encoding="utf-8"?>
<sst xmlns="http://schemas.openxmlformats.org/spreadsheetml/2006/main" count="72" uniqueCount="40">
  <si>
    <t>(US dollar, in thousands)</t>
  </si>
  <si>
    <t>Revenue</t>
  </si>
  <si>
    <t>Gross Revenue</t>
  </si>
  <si>
    <t>Cost of Goods Sold</t>
  </si>
  <si>
    <t xml:space="preserve">Gross Profit </t>
  </si>
  <si>
    <t>Operating Expenses</t>
  </si>
  <si>
    <t>Research and Development</t>
  </si>
  <si>
    <t>Sales and Marketing</t>
  </si>
  <si>
    <t>General and Administrative</t>
  </si>
  <si>
    <t>Salaries and Wages</t>
  </si>
  <si>
    <t>Interest</t>
  </si>
  <si>
    <t>Rent and Utilities</t>
  </si>
  <si>
    <t>Other</t>
  </si>
  <si>
    <t xml:space="preserve">Total Operating Expenses </t>
  </si>
  <si>
    <t>Operating Income (EBIT)</t>
  </si>
  <si>
    <t>Income Before Taxes</t>
  </si>
  <si>
    <t>Taxes</t>
  </si>
  <si>
    <t xml:space="preserve">Net Income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</si>
  <si>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</si>
  <si>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</si>
  <si>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</si>
  <si>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</si>
  <si>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</si>
  <si>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</si>
  <si>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</si>
  <si>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</si>
  <si>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</si>
  <si>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</si>
  <si>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</si>
  <si>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</si>
  <si>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January</t>
  </si>
  <si>
    <t>Note: this worksheet is part of a series of worksheets with correlating financial data for Red30 Tech. The other worksheets available in the series are:</t>
  </si>
  <si>
    <t>Red30 Tech Marketing Expenses.xlsx</t>
  </si>
  <si>
    <t>Red30 Tech Labor Expenses.xlsx</t>
  </si>
  <si>
    <t>Red30 Tech Balance Sheet.xlsx</t>
  </si>
  <si>
    <t>Red30 Tech Financial Statement.xlsx</t>
  </si>
  <si>
    <t xml:space="preserve">Red30 Tech Overhead Costs.xlsx </t>
  </si>
  <si>
    <t>Red30 Tech Actuals</t>
  </si>
  <si>
    <t>Monthly Numbers 2023</t>
  </si>
  <si>
    <t>Monthly Numbers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</si>
</sst>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1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42" fontId="7" fillId="0" borderId="0" xfId="0" applyNumberFormat="1" applyFont="1"/>
    <xf numFmtId="0" fontId="2" fillId="3" borderId="3" xfId="0" applyFont="1" applyFill="1" applyBorder="1" applyAlignment="1">
      <alignment horizontal="left"/>
    </xf>
    <xf numFmtId="42" fontId="3" fillId="0" borderId="0" xfId="0" applyNumberFormat="1" applyFont="1"/>
    <xf numFmtId="0" fontId="6" fillId="0" borderId="2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/>
    <xf numFmtId="42" fontId="7" fillId="0" borderId="5" xfId="0" applyNumberFormat="1" applyFont="1" applyBorder="1"/>
    <xf numFmtId="0" fontId="3" fillId="0" borderId="1" xfId="0" applyFont="1" applyBorder="1" applyAlignment="1">
      <alignment horizontal="left"/>
    </xf>
    <xf numFmtId="42" fontId="3" fillId="0" borderId="2" xfId="0" applyNumberFormat="1" applyFont="1" applyBorder="1"/>
    <xf numFmtId="0" fontId="6" fillId="0" borderId="6" xfId="0" applyFont="1" applyBorder="1" applyAlignment="1">
      <alignment horizontal="left"/>
    </xf>
    <xf numFmtId="42" fontId="7" fillId="0" borderId="6" xfId="0" applyNumberFormat="1" applyFont="1" applyBorder="1"/>
    <xf numFmtId="44" fontId="0" fillId="0" borderId="0" xfId="0" applyNumberFormat="1"/>
    <xf numFmtId="0" fontId="1" fillId="2" borderId="0" xfId="0" applyFont="1" applyFill="1" applyAlignment="1">
      <alignment horizontal="left"/>
    </xf>
    <xf numFmtId="165" fontId="0" fillId="0" borderId="0" xfId="1" applyNumberFormat="1" applyFont="1"/>
    <xf numFmtId="42" fontId="3" fillId="0" borderId="5" xfId="0" applyNumberFormat="1" applyFont="1" applyBorder="1"/>
    <xf numFmtId="164" fontId="3" fillId="0" borderId="0" xfId="0" applyNumberFormat="1" applyFont="1"/>
    <xf numFmtId="164" fontId="3" fillId="0" borderId="5" xfId="0" applyNumberFormat="1" applyFont="1" applyBorder="1"/>
    <xf numFmtId="0" fontId="1" fillId="2" borderId="8" xfId="0" applyFont="1" applyFill="1" applyBorder="1" applyAlignment="1">
      <alignment horizontal="left"/>
    </xf>
    <xf numFmtId="42" fontId="3" fillId="4" borderId="9" xfId="0" applyNumberFormat="1" applyFont="1" applyFill="1" applyBorder="1"/>
    <xf numFmtId="42" fontId="3" fillId="4" borderId="10" xfId="0" applyNumberFormat="1" applyFont="1" applyFill="1" applyBorder="1"/>
    <xf numFmtId="42" fontId="3" fillId="4" borderId="7" xfId="0" applyNumberFormat="1" applyFont="1" applyFill="1" applyBorder="1"/>
    <xf numFmtId="0" fontId="2" fillId="5" borderId="9" xfId="0" applyFont="1" applyFill="1" applyBorder="1" applyAlignment="1">
      <alignment horizontal="left"/>
    </xf>
    <xf numFmtId="0" fontId="5" fillId="5" borderId="9" xfId="0" applyFont="1" applyFill="1" applyBorder="1"/>
    <xf numFmtId="0" fontId="3" fillId="5" borderId="9" xfId="0" applyFont="1" applyFill="1" applyBorder="1"/>
    <xf numFmtId="42" fontId="10" fillId="4" borderId="9" xfId="0" applyNumberFormat="1" applyFont="1" applyFill="1" applyBorder="1"/>
    <xf numFmtId="42" fontId="10" fillId="4" borderId="10" xfId="0" applyNumberFormat="1" applyFont="1" applyFill="1" applyBorder="1"/>
    <xf numFmtId="42" fontId="10" fillId="4" borderId="11" xfId="0" applyNumberFormat="1" applyFont="1" applyFill="1" applyBorder="1"/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65" fontId="3" fillId="0" borderId="0" xfId="0" applyNumberFormat="1" applyFont="1"/>
    <xf numFmtId="165" fontId="3" fillId="0" borderId="5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08B1B-50D1-6243-BEBE-37A12468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6472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2025799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7D342-5B34-476F-B58A-A8578A05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729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06C8-2A17-1241-BDD5-DE5130FDBC78}">
  <dimension ref="A1:N45"/>
  <sheetViews>
    <sheetView showGridLines="0" topLeftCell="B1" workbookViewId="0">
      <selection activeCell="B4" sqref="B4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38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14" x14ac:dyDescent="0.5">
      <c r="A8" s="7" t="s">
        <v>2</v>
      </c>
      <c r="B8" s="25">
        <v>84672</v>
      </c>
      <c r="C8" s="12">
        <v>84977</v>
      </c>
      <c r="D8" s="12">
        <v>85284</v>
      </c>
      <c r="E8" s="12">
        <v>85592</v>
      </c>
      <c r="F8" s="12">
        <v>85901</v>
      </c>
      <c r="G8" s="12">
        <v>186211</v>
      </c>
      <c r="H8" s="12">
        <v>186522</v>
      </c>
      <c r="I8" s="12">
        <v>186834</v>
      </c>
      <c r="J8" s="12">
        <v>87148</v>
      </c>
      <c r="K8" s="12">
        <v>87463</v>
      </c>
      <c r="L8" s="12">
        <v>87778</v>
      </c>
      <c r="M8" s="12">
        <v>88095</v>
      </c>
      <c r="N8" s="28">
        <f>SUM(B8:M8)</f>
        <v>1336477</v>
      </c>
    </row>
    <row r="9" spans="1:14" x14ac:dyDescent="0.5">
      <c r="A9" s="8" t="s">
        <v>3</v>
      </c>
      <c r="B9" s="26">
        <v>31455</v>
      </c>
      <c r="C9" s="24">
        <v>31568</v>
      </c>
      <c r="D9" s="24">
        <v>31682</v>
      </c>
      <c r="E9" s="24">
        <v>31696</v>
      </c>
      <c r="F9" s="24">
        <v>31711</v>
      </c>
      <c r="G9" s="24">
        <v>61806</v>
      </c>
      <c r="H9" s="24">
        <v>71814</v>
      </c>
      <c r="I9" s="24">
        <v>71838</v>
      </c>
      <c r="J9" s="24">
        <v>31874</v>
      </c>
      <c r="K9" s="24">
        <v>31491</v>
      </c>
      <c r="L9" s="24">
        <v>31609</v>
      </c>
      <c r="M9" s="24">
        <v>32726</v>
      </c>
      <c r="N9" s="29">
        <f>SUM(B9:M9)</f>
        <v>491270</v>
      </c>
    </row>
    <row r="10" spans="1:14" x14ac:dyDescent="0.5">
      <c r="A10" s="9" t="s">
        <v>4</v>
      </c>
      <c r="B10" s="10">
        <f>B8-B9</f>
        <v>53217</v>
      </c>
      <c r="C10" s="10">
        <f t="shared" ref="C10:M10" si="0">C8-C9</f>
        <v>53409</v>
      </c>
      <c r="D10" s="10">
        <f t="shared" si="0"/>
        <v>53602</v>
      </c>
      <c r="E10" s="10">
        <f t="shared" si="0"/>
        <v>53896</v>
      </c>
      <c r="F10" s="10">
        <f t="shared" si="0"/>
        <v>54190</v>
      </c>
      <c r="G10" s="10">
        <f t="shared" si="0"/>
        <v>124405</v>
      </c>
      <c r="H10" s="10">
        <f t="shared" si="0"/>
        <v>114708</v>
      </c>
      <c r="I10" s="10">
        <f t="shared" si="0"/>
        <v>114996</v>
      </c>
      <c r="J10" s="10">
        <f t="shared" si="0"/>
        <v>55274</v>
      </c>
      <c r="K10" s="10">
        <f t="shared" si="0"/>
        <v>55972</v>
      </c>
      <c r="L10" s="10">
        <f t="shared" si="0"/>
        <v>56169</v>
      </c>
      <c r="M10" s="10">
        <f t="shared" si="0"/>
        <v>55369</v>
      </c>
      <c r="N10" s="34">
        <f>SUM(B10:M10)</f>
        <v>845207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14" x14ac:dyDescent="0.5">
      <c r="A12" s="7" t="s">
        <v>6</v>
      </c>
      <c r="B12" s="12">
        <v>6050</v>
      </c>
      <c r="C12" s="12">
        <v>6072</v>
      </c>
      <c r="D12" s="12">
        <v>6095</v>
      </c>
      <c r="E12" s="12">
        <v>6117</v>
      </c>
      <c r="F12" s="12">
        <v>6140</v>
      </c>
      <c r="G12" s="12">
        <v>6163</v>
      </c>
      <c r="H12" s="12">
        <v>6186</v>
      </c>
      <c r="I12" s="12">
        <v>6199</v>
      </c>
      <c r="J12" s="12">
        <v>6232</v>
      </c>
      <c r="K12" s="12">
        <v>6256</v>
      </c>
      <c r="L12" s="12">
        <v>6279</v>
      </c>
      <c r="M12" s="12">
        <v>6302</v>
      </c>
      <c r="N12" s="28">
        <f>SUM(B12:M12)</f>
        <v>74091</v>
      </c>
    </row>
    <row r="13" spans="1:14" x14ac:dyDescent="0.5">
      <c r="A13" s="7" t="s">
        <v>7</v>
      </c>
      <c r="B13" s="12">
        <v>4187</v>
      </c>
      <c r="C13" s="12">
        <v>4203</v>
      </c>
      <c r="D13" s="12">
        <v>4220</v>
      </c>
      <c r="E13" s="12">
        <v>4236</v>
      </c>
      <c r="F13" s="12">
        <v>4253</v>
      </c>
      <c r="G13" s="12">
        <v>4270</v>
      </c>
      <c r="H13" s="12">
        <v>4287</v>
      </c>
      <c r="I13" s="12">
        <v>4204</v>
      </c>
      <c r="J13" s="12">
        <v>4221</v>
      </c>
      <c r="K13" s="12">
        <v>4238</v>
      </c>
      <c r="L13" s="12">
        <v>4255</v>
      </c>
      <c r="M13" s="12">
        <v>4272</v>
      </c>
      <c r="N13" s="28">
        <f t="shared" ref="N13:N18" si="1">SUM(B13:M13)</f>
        <v>50846</v>
      </c>
    </row>
    <row r="14" spans="1:14" x14ac:dyDescent="0.5">
      <c r="A14" s="7" t="s">
        <v>8</v>
      </c>
      <c r="B14" s="12">
        <v>641</v>
      </c>
      <c r="C14" s="12">
        <v>640</v>
      </c>
      <c r="D14" s="12">
        <v>638</v>
      </c>
      <c r="E14" s="12">
        <v>636</v>
      </c>
      <c r="F14" s="12">
        <v>635</v>
      </c>
      <c r="G14" s="12">
        <v>632</v>
      </c>
      <c r="H14" s="12">
        <v>629</v>
      </c>
      <c r="I14" s="12">
        <v>627</v>
      </c>
      <c r="J14" s="12">
        <v>625</v>
      </c>
      <c r="K14" s="12">
        <v>625</v>
      </c>
      <c r="L14" s="12">
        <v>623</v>
      </c>
      <c r="M14" s="12">
        <v>620</v>
      </c>
      <c r="N14" s="28">
        <f t="shared" si="1"/>
        <v>7571</v>
      </c>
    </row>
    <row r="15" spans="1:14" x14ac:dyDescent="0.5">
      <c r="A15" s="7" t="s">
        <v>9</v>
      </c>
      <c r="B15" s="12">
        <v>31455</v>
      </c>
      <c r="C15" s="12">
        <v>31468</v>
      </c>
      <c r="D15" s="12">
        <v>31482</v>
      </c>
      <c r="E15" s="12">
        <v>31496</v>
      </c>
      <c r="F15" s="12">
        <v>31511</v>
      </c>
      <c r="G15" s="12">
        <v>31526</v>
      </c>
      <c r="H15" s="12">
        <v>31542</v>
      </c>
      <c r="I15" s="12">
        <v>31558</v>
      </c>
      <c r="J15" s="12">
        <v>31574</v>
      </c>
      <c r="K15" s="12">
        <v>31591</v>
      </c>
      <c r="L15" s="12">
        <v>31609</v>
      </c>
      <c r="M15" s="12">
        <v>31626</v>
      </c>
      <c r="N15" s="28">
        <f t="shared" si="1"/>
        <v>378438</v>
      </c>
    </row>
    <row r="16" spans="1:14" x14ac:dyDescent="0.5">
      <c r="A16" s="7" t="s">
        <v>10</v>
      </c>
      <c r="B16" s="12">
        <v>341</v>
      </c>
      <c r="C16" s="12">
        <v>339</v>
      </c>
      <c r="D16" s="12">
        <v>338</v>
      </c>
      <c r="E16" s="12">
        <v>337</v>
      </c>
      <c r="F16" s="12">
        <v>336</v>
      </c>
      <c r="G16" s="12">
        <v>335</v>
      </c>
      <c r="H16" s="12">
        <v>334</v>
      </c>
      <c r="I16" s="12">
        <v>333</v>
      </c>
      <c r="J16" s="12">
        <v>332</v>
      </c>
      <c r="K16" s="12">
        <v>331</v>
      </c>
      <c r="L16" s="12">
        <v>330</v>
      </c>
      <c r="M16" s="12">
        <v>329</v>
      </c>
      <c r="N16" s="28">
        <f t="shared" si="1"/>
        <v>4015</v>
      </c>
    </row>
    <row r="17" spans="1:14" x14ac:dyDescent="0.5">
      <c r="A17" s="7" t="s">
        <v>11</v>
      </c>
      <c r="B17" s="12">
        <v>5166</v>
      </c>
      <c r="C17" s="12">
        <v>5184</v>
      </c>
      <c r="D17" s="12">
        <v>5203</v>
      </c>
      <c r="E17" s="12">
        <v>5222</v>
      </c>
      <c r="F17" s="12">
        <v>5241</v>
      </c>
      <c r="G17" s="12">
        <v>5259</v>
      </c>
      <c r="H17" s="12">
        <v>5278</v>
      </c>
      <c r="I17" s="12">
        <v>5297</v>
      </c>
      <c r="J17" s="12">
        <v>5317</v>
      </c>
      <c r="K17" s="12">
        <v>5336</v>
      </c>
      <c r="L17" s="12">
        <v>5355</v>
      </c>
      <c r="M17" s="12">
        <v>5374</v>
      </c>
      <c r="N17" s="28">
        <f t="shared" si="1"/>
        <v>63232</v>
      </c>
    </row>
    <row r="18" spans="1:14" x14ac:dyDescent="0.5">
      <c r="A18" s="7" t="s">
        <v>12</v>
      </c>
      <c r="B18" s="24">
        <v>1000</v>
      </c>
      <c r="C18" s="24">
        <v>1003</v>
      </c>
      <c r="D18" s="24">
        <v>1007</v>
      </c>
      <c r="E18" s="24">
        <v>1010</v>
      </c>
      <c r="F18" s="24">
        <v>1014</v>
      </c>
      <c r="G18" s="24">
        <v>1018</v>
      </c>
      <c r="H18" s="24">
        <v>1021</v>
      </c>
      <c r="I18" s="24">
        <v>1025</v>
      </c>
      <c r="J18" s="24">
        <v>1029</v>
      </c>
      <c r="K18" s="24">
        <v>1032</v>
      </c>
      <c r="L18" s="24">
        <v>1036</v>
      </c>
      <c r="M18" s="24">
        <v>1040.4345844004035</v>
      </c>
      <c r="N18" s="29">
        <f t="shared" si="1"/>
        <v>12235.434584400404</v>
      </c>
    </row>
    <row r="19" spans="1:14" x14ac:dyDescent="0.5">
      <c r="A19" s="13" t="s">
        <v>13</v>
      </c>
      <c r="B19" s="10">
        <f>SUM(B12:B18)</f>
        <v>48840</v>
      </c>
      <c r="C19" s="10">
        <f t="shared" ref="C19:M19" si="2">SUM(C12:C18)</f>
        <v>48909</v>
      </c>
      <c r="D19" s="10">
        <f t="shared" si="2"/>
        <v>48983</v>
      </c>
      <c r="E19" s="10">
        <f t="shared" si="2"/>
        <v>49054</v>
      </c>
      <c r="F19" s="10">
        <f t="shared" si="2"/>
        <v>49130</v>
      </c>
      <c r="G19" s="10">
        <f t="shared" si="2"/>
        <v>49203</v>
      </c>
      <c r="H19" s="10">
        <f t="shared" si="2"/>
        <v>49277</v>
      </c>
      <c r="I19" s="10">
        <f t="shared" si="2"/>
        <v>49243</v>
      </c>
      <c r="J19" s="10">
        <f t="shared" si="2"/>
        <v>49330</v>
      </c>
      <c r="K19" s="10">
        <f t="shared" si="2"/>
        <v>49409</v>
      </c>
      <c r="L19" s="10">
        <f t="shared" si="2"/>
        <v>49487</v>
      </c>
      <c r="M19" s="10">
        <f t="shared" si="2"/>
        <v>49563.434584400406</v>
      </c>
      <c r="N19" s="34">
        <f>SUM(B19:M19)</f>
        <v>590428.43458440038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14" x14ac:dyDescent="0.5">
      <c r="A21" s="9" t="s">
        <v>15</v>
      </c>
      <c r="B21" s="16">
        <f>B10-B19</f>
        <v>4377</v>
      </c>
      <c r="C21" s="16">
        <f t="shared" ref="C21:N21" si="3">C10-C19</f>
        <v>4500</v>
      </c>
      <c r="D21" s="16">
        <f t="shared" si="3"/>
        <v>4619</v>
      </c>
      <c r="E21" s="16">
        <f t="shared" si="3"/>
        <v>4842</v>
      </c>
      <c r="F21" s="16">
        <f t="shared" si="3"/>
        <v>5060</v>
      </c>
      <c r="G21" s="16">
        <f t="shared" si="3"/>
        <v>75202</v>
      </c>
      <c r="H21" s="16">
        <f t="shared" si="3"/>
        <v>65431</v>
      </c>
      <c r="I21" s="16">
        <f t="shared" si="3"/>
        <v>65753</v>
      </c>
      <c r="J21" s="16">
        <f t="shared" si="3"/>
        <v>5944</v>
      </c>
      <c r="K21" s="16">
        <f t="shared" si="3"/>
        <v>6563</v>
      </c>
      <c r="L21" s="16">
        <f t="shared" si="3"/>
        <v>6682</v>
      </c>
      <c r="M21" s="16">
        <f t="shared" si="3"/>
        <v>5805.5654155995944</v>
      </c>
      <c r="N21" s="35">
        <f t="shared" si="3"/>
        <v>254778.56541559962</v>
      </c>
    </row>
    <row r="22" spans="1:14" x14ac:dyDescent="0.5">
      <c r="A22" s="17" t="s">
        <v>16</v>
      </c>
      <c r="B22" s="18">
        <f>0.21*B21</f>
        <v>919.17</v>
      </c>
      <c r="C22" s="18">
        <f t="shared" ref="C22:M22" si="4">0.21*C21</f>
        <v>945</v>
      </c>
      <c r="D22" s="18">
        <f t="shared" si="4"/>
        <v>969.99</v>
      </c>
      <c r="E22" s="18">
        <f t="shared" si="4"/>
        <v>1016.8199999999999</v>
      </c>
      <c r="F22" s="18">
        <f t="shared" si="4"/>
        <v>1062.5999999999999</v>
      </c>
      <c r="G22" s="18">
        <f t="shared" si="4"/>
        <v>15792.42</v>
      </c>
      <c r="H22" s="18">
        <f t="shared" si="4"/>
        <v>13740.51</v>
      </c>
      <c r="I22" s="18">
        <f t="shared" si="4"/>
        <v>13808.13</v>
      </c>
      <c r="J22" s="18">
        <f t="shared" si="4"/>
        <v>1248.24</v>
      </c>
      <c r="K22" s="18">
        <f t="shared" si="4"/>
        <v>1378.23</v>
      </c>
      <c r="L22" s="18">
        <f t="shared" si="4"/>
        <v>1403.22</v>
      </c>
      <c r="M22" s="18">
        <f t="shared" si="4"/>
        <v>1219.1687372759147</v>
      </c>
      <c r="N22" s="30">
        <f>SUM(B22:M22)</f>
        <v>53503.498737275913</v>
      </c>
    </row>
    <row r="23" spans="1:14" ht="16.149999999999999" thickBot="1" x14ac:dyDescent="0.55000000000000004">
      <c r="A23" s="19" t="s">
        <v>17</v>
      </c>
      <c r="B23" s="20">
        <f>B21-B22</f>
        <v>3457.83</v>
      </c>
      <c r="C23" s="20">
        <f t="shared" ref="C23:M23" si="5">C21-C22</f>
        <v>3555</v>
      </c>
      <c r="D23" s="20">
        <f t="shared" si="5"/>
        <v>3649.01</v>
      </c>
      <c r="E23" s="20">
        <f t="shared" si="5"/>
        <v>3825.1800000000003</v>
      </c>
      <c r="F23" s="20">
        <f t="shared" si="5"/>
        <v>3997.4</v>
      </c>
      <c r="G23" s="20">
        <f t="shared" si="5"/>
        <v>59409.58</v>
      </c>
      <c r="H23" s="20">
        <f t="shared" si="5"/>
        <v>51690.49</v>
      </c>
      <c r="I23" s="20">
        <f t="shared" si="5"/>
        <v>51944.87</v>
      </c>
      <c r="J23" s="20">
        <f t="shared" si="5"/>
        <v>4695.76</v>
      </c>
      <c r="K23" s="20">
        <f t="shared" si="5"/>
        <v>5184.7700000000004</v>
      </c>
      <c r="L23" s="20">
        <f t="shared" si="5"/>
        <v>5278.78</v>
      </c>
      <c r="M23" s="20">
        <f t="shared" si="5"/>
        <v>4586.3966783236792</v>
      </c>
      <c r="N23" s="36">
        <f>N21-N22</f>
        <v>201275.0666783237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6B9E-4387-4F95-B531-2EFF8FAE8B45}">
  <dimension ref="A1:N45"/>
  <sheetViews>
    <sheetView showGridLines="0" tabSelected="1" zoomScale="90" zoomScaleNormal="90" workbookViewId="0">
      <selection activeCell="C34" sqref="C34"/>
    </sheetView>
  </sheetViews>
  <sheetFormatPr defaultColWidth="11" defaultRowHeight="15.75" x14ac:dyDescent="0.5"/>
  <cols>
    <col min="1" max="1" width="33" customWidth="1"/>
    <col min="2" max="12" width="11.6875" customWidth="1"/>
    <col min="13" max="14" width="11.8125" customWidth="1"/>
    <col min="15" max="15" width="11.6875" customWidth="1"/>
  </cols>
  <sheetData>
    <row r="1" spans="1:14" ht="23.25" x14ac:dyDescent="0.7">
      <c r="A1" s="1"/>
      <c r="B1" s="2"/>
      <c r="C1" s="3"/>
      <c r="D1" s="3"/>
      <c r="E1" s="3"/>
      <c r="F1" s="3"/>
    </row>
    <row r="2" spans="1:14" x14ac:dyDescent="0.5">
      <c r="A2" s="1"/>
      <c r="B2" s="4" t="s">
        <v>37</v>
      </c>
      <c r="C2" s="4"/>
      <c r="D2" s="3"/>
      <c r="E2" s="3"/>
      <c r="F2" s="3"/>
    </row>
    <row r="3" spans="1:14" x14ac:dyDescent="0.5">
      <c r="A3" s="1"/>
      <c r="B3" s="4" t="s">
        <v>39</v>
      </c>
      <c r="C3" s="4"/>
      <c r="D3" s="3"/>
      <c r="E3" s="3"/>
      <c r="F3" s="3"/>
    </row>
    <row r="4" spans="1:14" x14ac:dyDescent="0.5">
      <c r="A4" s="1"/>
      <c r="B4" s="3" t="s">
        <v>0</v>
      </c>
      <c r="C4" s="4"/>
      <c r="D4" s="3"/>
      <c r="E4" s="3"/>
      <c r="F4" s="3"/>
    </row>
    <row r="5" spans="1:14" ht="23.25" x14ac:dyDescent="0.7">
      <c r="A5" s="2"/>
      <c r="B5" s="3"/>
      <c r="C5" s="2"/>
      <c r="D5" s="2"/>
      <c r="E5" s="2"/>
      <c r="F5" s="2"/>
    </row>
    <row r="6" spans="1:14" x14ac:dyDescent="0.5">
      <c r="A6" s="22"/>
      <c r="B6" s="22" t="s">
        <v>30</v>
      </c>
      <c r="C6" s="22" t="s">
        <v>18</v>
      </c>
      <c r="D6" s="22" t="s">
        <v>19</v>
      </c>
      <c r="E6" s="22" t="s">
        <v>20</v>
      </c>
      <c r="F6" s="22" t="s">
        <v>21</v>
      </c>
      <c r="G6" s="22" t="s">
        <v>22</v>
      </c>
      <c r="H6" s="22" t="s">
        <v>23</v>
      </c>
      <c r="I6" s="22" t="s">
        <v>24</v>
      </c>
      <c r="J6" s="22" t="s">
        <v>25</v>
      </c>
      <c r="K6" s="22" t="s">
        <v>26</v>
      </c>
      <c r="L6" s="22" t="s">
        <v>27</v>
      </c>
      <c r="M6" s="22" t="s">
        <v>28</v>
      </c>
      <c r="N6" s="27" t="s">
        <v>29</v>
      </c>
    </row>
    <row r="7" spans="1:14" x14ac:dyDescent="0.5">
      <c r="A7" s="5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1"/>
    </row>
    <row r="8" spans="1:14" x14ac:dyDescent="0.5">
      <c r="A8" s="7" t="s">
        <v>2</v>
      </c>
      <c r="B8" s="39">
        <v>84211.260000000009</v>
      </c>
      <c r="C8" s="12">
        <v>91015.924999999988</v>
      </c>
      <c r="D8" s="12">
        <v>81050.212999999989</v>
      </c>
      <c r="E8" s="12">
        <v>92039.040000000008</v>
      </c>
      <c r="F8" s="12">
        <v>95834.508999999991</v>
      </c>
      <c r="G8" s="12">
        <v>189749.00899999999</v>
      </c>
      <c r="H8" s="12">
        <v>192490.704</v>
      </c>
      <c r="I8" s="12">
        <v>192065.35200000001</v>
      </c>
      <c r="J8" s="12">
        <v>83302.863999999987</v>
      </c>
      <c r="K8" s="12">
        <v>93916.242999999988</v>
      </c>
      <c r="L8" s="12">
        <v>87058.116000000009</v>
      </c>
      <c r="M8" s="12">
        <v>94905</v>
      </c>
      <c r="N8" s="28">
        <f>SUM(B8:M8)</f>
        <v>1377638.2349999999</v>
      </c>
    </row>
    <row r="9" spans="1:14" x14ac:dyDescent="0.5">
      <c r="A9" s="8" t="s">
        <v>3</v>
      </c>
      <c r="B9" s="40">
        <v>31949.64</v>
      </c>
      <c r="C9" s="24">
        <v>30623.567999999999</v>
      </c>
      <c r="D9" s="24">
        <v>34234.010999999999</v>
      </c>
      <c r="E9" s="24">
        <v>36225.773999999998</v>
      </c>
      <c r="F9" s="24">
        <v>34229.775999999998</v>
      </c>
      <c r="G9" s="24">
        <v>61991.417999999991</v>
      </c>
      <c r="H9" s="24">
        <v>74614.745999999999</v>
      </c>
      <c r="I9" s="24">
        <v>74064.977999999988</v>
      </c>
      <c r="J9" s="24">
        <v>34446.050000000003</v>
      </c>
      <c r="K9" s="24">
        <v>34686.233999999997</v>
      </c>
      <c r="L9" s="24">
        <v>32968.186999999998</v>
      </c>
      <c r="M9" s="24">
        <v>36298.288</v>
      </c>
      <c r="N9" s="29">
        <f>SUM(B9:M9)</f>
        <v>516332.66999999993</v>
      </c>
    </row>
    <row r="10" spans="1:14" x14ac:dyDescent="0.5">
      <c r="A10" s="9" t="s">
        <v>4</v>
      </c>
      <c r="B10" s="10">
        <f>B8-B9</f>
        <v>52261.62000000001</v>
      </c>
      <c r="C10" s="10">
        <f t="shared" ref="C10:M10" si="0">C8-C9</f>
        <v>60392.356999999989</v>
      </c>
      <c r="D10" s="10">
        <f t="shared" si="0"/>
        <v>46816.20199999999</v>
      </c>
      <c r="E10" s="10">
        <f t="shared" si="0"/>
        <v>55813.266000000011</v>
      </c>
      <c r="F10" s="10">
        <f t="shared" si="0"/>
        <v>61604.732999999993</v>
      </c>
      <c r="G10" s="10">
        <f t="shared" si="0"/>
        <v>127757.591</v>
      </c>
      <c r="H10" s="10">
        <f t="shared" si="0"/>
        <v>117875.958</v>
      </c>
      <c r="I10" s="10">
        <f t="shared" si="0"/>
        <v>118000.37400000003</v>
      </c>
      <c r="J10" s="10">
        <f t="shared" si="0"/>
        <v>48856.813999999984</v>
      </c>
      <c r="K10" s="10">
        <f t="shared" si="0"/>
        <v>59230.008999999991</v>
      </c>
      <c r="L10" s="10">
        <f t="shared" si="0"/>
        <v>54089.929000000011</v>
      </c>
      <c r="M10" s="10">
        <f t="shared" si="0"/>
        <v>58606.712</v>
      </c>
      <c r="N10" s="34">
        <f>SUM(B10:M10)</f>
        <v>861305.56499999994</v>
      </c>
    </row>
    <row r="11" spans="1:14" x14ac:dyDescent="0.5">
      <c r="A11" s="11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2"/>
    </row>
    <row r="12" spans="1:14" x14ac:dyDescent="0.5">
      <c r="A12" s="7" t="s">
        <v>6</v>
      </c>
      <c r="B12" s="12">
        <v>5539.0360000000001</v>
      </c>
      <c r="C12" s="12">
        <v>6684.18</v>
      </c>
      <c r="D12" s="12">
        <v>6606.7859999999991</v>
      </c>
      <c r="E12" s="12">
        <v>6757.9379999999992</v>
      </c>
      <c r="F12" s="12">
        <v>6425.1840000000002</v>
      </c>
      <c r="G12" s="12">
        <v>5652.3929999999991</v>
      </c>
      <c r="H12" s="12">
        <v>6625.99</v>
      </c>
      <c r="I12" s="12">
        <v>6610.4260000000004</v>
      </c>
      <c r="J12" s="12">
        <v>6695.0169999999998</v>
      </c>
      <c r="K12" s="12">
        <v>5892.2549999999992</v>
      </c>
      <c r="L12" s="12">
        <v>7042.4759999999997</v>
      </c>
      <c r="M12" s="12">
        <v>6403.19</v>
      </c>
      <c r="N12" s="28">
        <f>SUM(B12:M12)</f>
        <v>76934.870999999999</v>
      </c>
    </row>
    <row r="13" spans="1:14" x14ac:dyDescent="0.5">
      <c r="A13" s="7" t="s">
        <v>7</v>
      </c>
      <c r="B13" s="12">
        <v>4455.7520000000004</v>
      </c>
      <c r="C13" s="12">
        <v>3970.7549999999997</v>
      </c>
      <c r="D13" s="12">
        <v>4411.5999999999995</v>
      </c>
      <c r="E13" s="12">
        <v>4100.4559999999992</v>
      </c>
      <c r="F13" s="12">
        <v>4081.56</v>
      </c>
      <c r="G13" s="12">
        <v>4302.18</v>
      </c>
      <c r="H13" s="12">
        <v>4636.32</v>
      </c>
      <c r="I13" s="12">
        <v>3950.4960000000001</v>
      </c>
      <c r="J13" s="12">
        <v>4110.848</v>
      </c>
      <c r="K13" s="12">
        <v>4413.7829999999994</v>
      </c>
      <c r="L13" s="12">
        <v>4513.5</v>
      </c>
      <c r="M13" s="12">
        <v>4191.9139999999998</v>
      </c>
      <c r="N13" s="28">
        <f t="shared" ref="N13:N18" si="1">SUM(B13:M13)</f>
        <v>51139.163999999997</v>
      </c>
    </row>
    <row r="14" spans="1:14" x14ac:dyDescent="0.5">
      <c r="A14" s="7" t="s">
        <v>8</v>
      </c>
      <c r="B14" s="12">
        <v>609.81799999999998</v>
      </c>
      <c r="C14" s="12">
        <v>651.81399999999996</v>
      </c>
      <c r="D14" s="12">
        <v>616.35</v>
      </c>
      <c r="E14" s="12">
        <v>675.34799999999996</v>
      </c>
      <c r="F14" s="12">
        <v>600.45600000000002</v>
      </c>
      <c r="G14" s="12">
        <v>605.4</v>
      </c>
      <c r="H14" s="12">
        <v>639.19799999999998</v>
      </c>
      <c r="I14" s="12">
        <v>619.84</v>
      </c>
      <c r="J14" s="12">
        <v>583.04999999999995</v>
      </c>
      <c r="K14" s="12">
        <v>666.9</v>
      </c>
      <c r="L14" s="12">
        <v>602.65600000000006</v>
      </c>
      <c r="M14" s="12">
        <v>600.08000000000004</v>
      </c>
      <c r="N14" s="28">
        <f t="shared" si="1"/>
        <v>7470.91</v>
      </c>
    </row>
    <row r="15" spans="1:14" x14ac:dyDescent="0.5">
      <c r="A15" s="7" t="s">
        <v>9</v>
      </c>
      <c r="B15" s="12">
        <v>30826</v>
      </c>
      <c r="C15" s="12">
        <v>30239.208999999995</v>
      </c>
      <c r="D15" s="12">
        <v>31039.020999999997</v>
      </c>
      <c r="E15" s="12">
        <v>30019.136000000002</v>
      </c>
      <c r="F15" s="12">
        <v>34965.245999999999</v>
      </c>
      <c r="G15" s="12">
        <v>30219.549999999996</v>
      </c>
      <c r="H15" s="12">
        <v>32525.996999999996</v>
      </c>
      <c r="I15" s="12">
        <v>33244.581999999995</v>
      </c>
      <c r="J15" s="12">
        <v>34840.187999999995</v>
      </c>
      <c r="K15" s="12">
        <v>32400.9</v>
      </c>
      <c r="L15" s="12">
        <v>32102.066999999999</v>
      </c>
      <c r="M15" s="12">
        <v>28491.462999999996</v>
      </c>
      <c r="N15" s="28">
        <f t="shared" si="1"/>
        <v>380913.359</v>
      </c>
    </row>
    <row r="16" spans="1:14" x14ac:dyDescent="0.5">
      <c r="A16" s="7" t="s">
        <v>10</v>
      </c>
      <c r="B16" s="12">
        <v>328.63499999999999</v>
      </c>
      <c r="C16" s="12">
        <v>375.87299999999999</v>
      </c>
      <c r="D16" s="12">
        <v>341.7</v>
      </c>
      <c r="E16" s="12">
        <v>380.27499999999998</v>
      </c>
      <c r="F16" s="12">
        <v>370.65000000000003</v>
      </c>
      <c r="G16" s="12">
        <v>321.85999999999996</v>
      </c>
      <c r="H16" s="12">
        <v>339.93699999999995</v>
      </c>
      <c r="I16" s="12">
        <v>328.024</v>
      </c>
      <c r="J16" s="12">
        <v>355.61099999999999</v>
      </c>
      <c r="K16" s="12">
        <v>375.64800000000002</v>
      </c>
      <c r="L16" s="12">
        <v>338.66099999999994</v>
      </c>
      <c r="M16" s="12">
        <v>314.25299999999999</v>
      </c>
      <c r="N16" s="28">
        <f t="shared" si="1"/>
        <v>4171.1270000000004</v>
      </c>
    </row>
    <row r="17" spans="1:14" x14ac:dyDescent="0.5">
      <c r="A17" s="7" t="s">
        <v>11</v>
      </c>
      <c r="B17" s="12">
        <v>5079.78</v>
      </c>
      <c r="C17" s="12">
        <v>5532.24</v>
      </c>
      <c r="D17" s="12">
        <v>5051.7460000000001</v>
      </c>
      <c r="E17" s="12">
        <v>5692</v>
      </c>
      <c r="F17" s="12">
        <v>5747.2780000000002</v>
      </c>
      <c r="G17" s="12">
        <v>5354.4960000000001</v>
      </c>
      <c r="H17" s="12">
        <v>4778.5</v>
      </c>
      <c r="I17" s="12">
        <v>6028.0560000000005</v>
      </c>
      <c r="J17" s="12">
        <v>4914.1949999999997</v>
      </c>
      <c r="K17" s="12">
        <v>4991.7719999999999</v>
      </c>
      <c r="L17" s="12">
        <v>5034.78</v>
      </c>
      <c r="M17" s="12">
        <v>5779.0259999999998</v>
      </c>
      <c r="N17" s="28">
        <f t="shared" si="1"/>
        <v>63983.868999999999</v>
      </c>
    </row>
    <row r="18" spans="1:14" x14ac:dyDescent="0.5">
      <c r="A18" s="7" t="s">
        <v>12</v>
      </c>
      <c r="B18" s="24">
        <v>1081.2</v>
      </c>
      <c r="C18" s="24">
        <v>1118.442</v>
      </c>
      <c r="D18" s="24">
        <v>1081.3109999999999</v>
      </c>
      <c r="E18" s="24">
        <v>996.48</v>
      </c>
      <c r="F18" s="24">
        <v>1056.768</v>
      </c>
      <c r="G18" s="24">
        <v>1053.3599999999999</v>
      </c>
      <c r="H18" s="24">
        <v>1129.6949999999999</v>
      </c>
      <c r="I18" s="24">
        <v>1085.568</v>
      </c>
      <c r="J18" s="24">
        <v>989.976</v>
      </c>
      <c r="K18" s="24">
        <v>1015.7749999999999</v>
      </c>
      <c r="L18" s="24">
        <v>1006.94</v>
      </c>
      <c r="M18" s="24">
        <v>1076.3999999999999</v>
      </c>
      <c r="N18" s="29">
        <f t="shared" si="1"/>
        <v>12691.914999999999</v>
      </c>
    </row>
    <row r="19" spans="1:14" x14ac:dyDescent="0.5">
      <c r="A19" s="13" t="s">
        <v>13</v>
      </c>
      <c r="B19" s="10">
        <f>SUM(B12:B18)</f>
        <v>47920.220999999998</v>
      </c>
      <c r="C19" s="10">
        <f t="shared" ref="C19:M19" si="2">SUM(C12:C18)</f>
        <v>48572.512999999999</v>
      </c>
      <c r="D19" s="10">
        <f t="shared" si="2"/>
        <v>49148.513999999996</v>
      </c>
      <c r="E19" s="10">
        <f t="shared" si="2"/>
        <v>48621.633000000002</v>
      </c>
      <c r="F19" s="10">
        <f t="shared" si="2"/>
        <v>53247.141999999993</v>
      </c>
      <c r="G19" s="10">
        <f t="shared" si="2"/>
        <v>47509.238999999994</v>
      </c>
      <c r="H19" s="10">
        <f t="shared" si="2"/>
        <v>50675.636999999995</v>
      </c>
      <c r="I19" s="10">
        <f t="shared" si="2"/>
        <v>51866.991999999998</v>
      </c>
      <c r="J19" s="10">
        <f t="shared" si="2"/>
        <v>52488.884999999995</v>
      </c>
      <c r="K19" s="10">
        <f t="shared" si="2"/>
        <v>49757.033000000003</v>
      </c>
      <c r="L19" s="10">
        <f t="shared" si="2"/>
        <v>50641.08</v>
      </c>
      <c r="M19" s="10">
        <f t="shared" si="2"/>
        <v>46856.325999999994</v>
      </c>
      <c r="N19" s="34">
        <f>SUM(B19:M19)</f>
        <v>597305.21499999997</v>
      </c>
    </row>
    <row r="20" spans="1:14" x14ac:dyDescent="0.5">
      <c r="A20" s="14" t="s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3"/>
    </row>
    <row r="21" spans="1:14" x14ac:dyDescent="0.5">
      <c r="A21" s="9" t="s">
        <v>15</v>
      </c>
      <c r="B21" s="16">
        <f>B10-B19</f>
        <v>4341.3990000000122</v>
      </c>
      <c r="C21" s="16">
        <f t="shared" ref="C21:N21" si="3">C10-C19</f>
        <v>11819.84399999999</v>
      </c>
      <c r="D21" s="16">
        <f t="shared" si="3"/>
        <v>-2332.3120000000054</v>
      </c>
      <c r="E21" s="16">
        <f t="shared" si="3"/>
        <v>7191.6330000000089</v>
      </c>
      <c r="F21" s="16">
        <f t="shared" si="3"/>
        <v>8357.5910000000003</v>
      </c>
      <c r="G21" s="16">
        <f t="shared" si="3"/>
        <v>80248.352000000014</v>
      </c>
      <c r="H21" s="16">
        <f t="shared" si="3"/>
        <v>67200.320999999996</v>
      </c>
      <c r="I21" s="16">
        <f t="shared" si="3"/>
        <v>66133.382000000027</v>
      </c>
      <c r="J21" s="16">
        <f t="shared" si="3"/>
        <v>-3632.0710000000108</v>
      </c>
      <c r="K21" s="16">
        <f t="shared" si="3"/>
        <v>9472.9759999999878</v>
      </c>
      <c r="L21" s="16">
        <f t="shared" si="3"/>
        <v>3448.8490000000093</v>
      </c>
      <c r="M21" s="16">
        <f t="shared" si="3"/>
        <v>11750.386000000006</v>
      </c>
      <c r="N21" s="35">
        <f t="shared" si="3"/>
        <v>264000.34999999998</v>
      </c>
    </row>
    <row r="22" spans="1:14" x14ac:dyDescent="0.5">
      <c r="A22" s="17" t="s">
        <v>16</v>
      </c>
      <c r="B22" s="18">
        <f>0.21*B21</f>
        <v>911.69379000000254</v>
      </c>
      <c r="C22" s="18">
        <f t="shared" ref="C22:M22" si="4">0.21*C21</f>
        <v>2482.1672399999979</v>
      </c>
      <c r="D22" s="18">
        <f t="shared" si="4"/>
        <v>-489.7855200000011</v>
      </c>
      <c r="E22" s="18">
        <f t="shared" si="4"/>
        <v>1510.2429300000017</v>
      </c>
      <c r="F22" s="18">
        <f t="shared" si="4"/>
        <v>1755.09411</v>
      </c>
      <c r="G22" s="18">
        <f t="shared" si="4"/>
        <v>16852.153920000001</v>
      </c>
      <c r="H22" s="18">
        <f t="shared" si="4"/>
        <v>14112.067409999998</v>
      </c>
      <c r="I22" s="18">
        <f t="shared" si="4"/>
        <v>13888.010220000006</v>
      </c>
      <c r="J22" s="18">
        <f t="shared" si="4"/>
        <v>-762.73491000000229</v>
      </c>
      <c r="K22" s="18">
        <f t="shared" si="4"/>
        <v>1989.3249599999974</v>
      </c>
      <c r="L22" s="18">
        <f t="shared" si="4"/>
        <v>724.25829000000192</v>
      </c>
      <c r="M22" s="18">
        <f t="shared" si="4"/>
        <v>2467.5810600000013</v>
      </c>
      <c r="N22" s="30">
        <f>SUM(B22:M22)</f>
        <v>55440.073500000013</v>
      </c>
    </row>
    <row r="23" spans="1:14" ht="16.149999999999999" thickBot="1" x14ac:dyDescent="0.55000000000000004">
      <c r="A23" s="19" t="s">
        <v>17</v>
      </c>
      <c r="B23" s="20">
        <f>B21-B22</f>
        <v>3429.7052100000096</v>
      </c>
      <c r="C23" s="20">
        <f t="shared" ref="C23:M23" si="5">C21-C22</f>
        <v>9337.6767599999912</v>
      </c>
      <c r="D23" s="20">
        <f t="shared" si="5"/>
        <v>-1842.5264800000043</v>
      </c>
      <c r="E23" s="20">
        <f t="shared" si="5"/>
        <v>5681.3900700000067</v>
      </c>
      <c r="F23" s="20">
        <f t="shared" si="5"/>
        <v>6602.4968900000003</v>
      </c>
      <c r="G23" s="20">
        <f t="shared" si="5"/>
        <v>63396.198080000016</v>
      </c>
      <c r="H23" s="20">
        <f t="shared" si="5"/>
        <v>53088.25359</v>
      </c>
      <c r="I23" s="20">
        <f t="shared" si="5"/>
        <v>52245.371780000023</v>
      </c>
      <c r="J23" s="20">
        <f t="shared" si="5"/>
        <v>-2869.3360900000084</v>
      </c>
      <c r="K23" s="20">
        <f t="shared" si="5"/>
        <v>7483.6510399999906</v>
      </c>
      <c r="L23" s="20">
        <f t="shared" si="5"/>
        <v>2724.5907100000072</v>
      </c>
      <c r="M23" s="20">
        <f t="shared" si="5"/>
        <v>9282.8049400000054</v>
      </c>
      <c r="N23" s="36">
        <f>N21-N22</f>
        <v>208560.27649999998</v>
      </c>
    </row>
    <row r="24" spans="1:14" ht="16.149999999999999" thickTop="1" x14ac:dyDescent="0.5"/>
    <row r="30" spans="1:14" x14ac:dyDescent="0.5">
      <c r="K30" s="23"/>
    </row>
    <row r="31" spans="1:14" x14ac:dyDescent="0.5">
      <c r="K31" s="23"/>
    </row>
    <row r="32" spans="1:14" x14ac:dyDescent="0.5">
      <c r="C32" s="21"/>
      <c r="K32" s="23"/>
    </row>
    <row r="33" spans="11:11" x14ac:dyDescent="0.5">
      <c r="K33" s="23"/>
    </row>
    <row r="34" spans="11:11" x14ac:dyDescent="0.5">
      <c r="K34" s="23"/>
    </row>
    <row r="35" spans="11:11" x14ac:dyDescent="0.5">
      <c r="K35" s="23"/>
    </row>
    <row r="36" spans="11:11" x14ac:dyDescent="0.5">
      <c r="K36" s="23"/>
    </row>
    <row r="37" spans="11:11" x14ac:dyDescent="0.5">
      <c r="K37" s="23"/>
    </row>
    <row r="38" spans="11:11" x14ac:dyDescent="0.5">
      <c r="K38" s="23"/>
    </row>
    <row r="39" spans="11:11" x14ac:dyDescent="0.5">
      <c r="K39" s="23"/>
    </row>
    <row r="40" spans="11:11" x14ac:dyDescent="0.5">
      <c r="K40" s="23"/>
    </row>
    <row r="41" spans="11:11" x14ac:dyDescent="0.5">
      <c r="K41" s="23"/>
    </row>
    <row r="42" spans="11:11" x14ac:dyDescent="0.5">
      <c r="K42" s="23"/>
    </row>
    <row r="43" spans="11:11" x14ac:dyDescent="0.5">
      <c r="K43" s="23"/>
    </row>
    <row r="44" spans="11:11" x14ac:dyDescent="0.5">
      <c r="K44" s="23"/>
    </row>
    <row r="45" spans="11:11" x14ac:dyDescent="0.5">
      <c r="K45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8405-BFA3-3148-B11C-F72AF884C56F}">
  <dimension ref="A2:A10"/>
  <sheetViews>
    <sheetView workbookViewId="0">
      <selection activeCell="A7" sqref="A7:XFD7"/>
    </sheetView>
  </sheetViews>
  <sheetFormatPr defaultColWidth="11" defaultRowHeight="15.75" x14ac:dyDescent="0.5"/>
  <cols>
    <col min="1" max="1" width="53" customWidth="1"/>
  </cols>
  <sheetData>
    <row r="2" spans="1:1" ht="54" x14ac:dyDescent="0.5">
      <c r="A2" s="37" t="s">
        <v>31</v>
      </c>
    </row>
    <row r="4" spans="1:1" x14ac:dyDescent="0.5">
      <c r="A4" s="38" t="s">
        <v>32</v>
      </c>
    </row>
    <row r="5" spans="1:1" x14ac:dyDescent="0.5">
      <c r="A5" s="38" t="s">
        <v>33</v>
      </c>
    </row>
    <row r="6" spans="1:1" x14ac:dyDescent="0.5">
      <c r="A6" t="s">
        <v>36</v>
      </c>
    </row>
    <row r="7" spans="1:1" x14ac:dyDescent="0.5">
      <c r="A7" s="38" t="s">
        <v>34</v>
      </c>
    </row>
    <row r="8" spans="1:1" x14ac:dyDescent="0.5">
      <c r="A8" s="38" t="s">
        <v>35</v>
      </c>
    </row>
    <row r="10" spans="1:1" x14ac:dyDescent="0.5">
      <c r="A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About this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Wall</cp:lastModifiedBy>
  <dcterms:created xsi:type="dcterms:W3CDTF">2019-11-19T01:11:28Z</dcterms:created>
  <dcterms:modified xsi:type="dcterms:W3CDTF">2025-02-03T04:56:17Z</dcterms:modified>
</cp:coreProperties>
</file>